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c02d35b2c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0eb31be13dc461f"/>
    <x:sheet xmlns:r="http://schemas.openxmlformats.org/officeDocument/2006/relationships" name="Datasheet_Manifest" sheetId="2" r:id="Rd33ccec7869446c8"/>
    <x:sheet xmlns:r="http://schemas.openxmlformats.org/officeDocument/2006/relationships" name="Team_Assignment" sheetId="3" r:id="R1e7ec93f34634b5a"/>
    <x:sheet xmlns:r="http://schemas.openxmlformats.org/officeDocument/2006/relationships" name="Build_Acceptance" sheetId="4" r:id="R73ff427586c748c3"/>
    <x:sheet xmlns:r="http://schemas.openxmlformats.org/officeDocument/2006/relationships" name="README" sheetId="5" r:id="R01e3d6a680fa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원&quot;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3413C"/>
      <x:name val="Carlito"/>
    </x:font>
    <x:font>
      <x:b/>
      <x:sz val="11"/>
      <x:color rgb="FF173F3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3F7F5"/>
      </x:patternFill>
    </x:fill>
    <x:fill>
      <x:patternFill patternType="solid">
        <x:fgColor rgb="FFDDEDE7"/>
      </x:patternFill>
    </x:fill>
    <x:fill>
      <x:patternFill patternType="solid">
        <x:fgColor rgb="FF2E6656"/>
      </x:patternFill>
    </x:fill>
  </x:fills>
  <x:borders count="22">
    <x:border/>
    <x:border/>
    <x:border>
      <x:left style="thin">
        <x:color rgb="FFD6E0DC"/>
      </x:left>
      <x:top style="thin">
        <x:color rgb="FFD6E0DC"/>
      </x:top>
      <x:bottom style="thin">
        <x:color rgb="FFD6E0DC"/>
      </x:bottom>
    </x:border>
    <x:border>
      <x:right style="thin">
        <x:color rgb="FFD6E0DC"/>
      </x:right>
      <x:top style="thin">
        <x:color rgb="FFD6E0DC"/>
      </x:top>
      <x:bottom style="thin">
        <x:color rgb="FFD6E0DC"/>
      </x:bottom>
    </x:border>
    <x:border>
      <x:left style="thin">
        <x:color rgb="FFD6E0DC"/>
      </x:left>
      <x:top style="thin">
        <x:color rgb="FFD6E0DC"/>
      </x:top>
      <x:bottom style="thin">
        <x:color rgb="FFD6E0DC"/>
      </x:bottom>
    </x:border>
    <x:border>
      <x:right style="thin">
        <x:color rgb="FFD6E0DC"/>
      </x:right>
      <x:top style="thin">
        <x:color rgb="FFD6E0DC"/>
      </x:top>
      <x:bottom style="thin">
        <x:color rgb="FFD6E0DC"/>
      </x:bottom>
    </x:border>
    <x:border>
      <x:left style="thin">
        <x:color rgb="FFD6E0DC"/>
      </x:left>
      <x:top style="thin">
        <x:color rgb="FFD6E0DC"/>
      </x:top>
    </x:border>
    <x:border>
      <x:top style="thin">
        <x:color rgb="FFD6E0DC"/>
      </x:top>
    </x:border>
    <x:border>
      <x:right style="thin">
        <x:color rgb="FFD6E0DC"/>
      </x:right>
      <x:top style="thin">
        <x:color rgb="FFD6E0DC"/>
      </x:top>
    </x:border>
    <x:border>
      <x:left style="thin">
        <x:color rgb="FFD6E0DC"/>
      </x:left>
    </x:border>
    <x:border>
      <x:right style="thin">
        <x:color rgb="FFD6E0DC"/>
      </x:right>
    </x:border>
    <x:border>
      <x:left style="thin">
        <x:color rgb="FFD6E0DC"/>
      </x:left>
      <x:bottom style="thin">
        <x:color rgb="FFD6E0DC"/>
      </x:bottom>
    </x:border>
    <x:border>
      <x:bottom style="thin">
        <x:color rgb="FFD6E0DC"/>
      </x:bottom>
    </x:border>
    <x:border>
      <x:right style="thin">
        <x:color rgb="FFD6E0DC"/>
      </x:right>
      <x:bottom style="thin">
        <x:color rgb="FFD6E0DC"/>
      </x:bottom>
    </x:border>
    <x:border>
      <x:left style="thin">
        <x:color rgb="FFD6E0DC"/>
      </x:left>
      <x:top style="thin">
        <x:color rgb="FFD6E0DC"/>
      </x:top>
    </x:border>
    <x:border>
      <x:top style="thin">
        <x:color rgb="FFD6E0DC"/>
      </x:top>
    </x:border>
    <x:border>
      <x:right style="thin">
        <x:color rgb="FFD6E0DC"/>
      </x:right>
      <x:top style="thin">
        <x:color rgb="FFD6E0DC"/>
      </x:top>
    </x:border>
    <x:border>
      <x:left style="thin">
        <x:color rgb="FFD6E0DC"/>
      </x:left>
    </x:border>
    <x:border>
      <x:right style="thin">
        <x:color rgb="FFD6E0DC"/>
      </x:right>
    </x:border>
    <x:border>
      <x:left style="thin">
        <x:color rgb="FFD6E0DC"/>
      </x:left>
      <x:bottom style="thin">
        <x:color rgb="FFD6E0DC"/>
      </x:bottom>
    </x:border>
    <x:border>
      <x:bottom style="thin">
        <x:color rgb="FFD6E0DC"/>
      </x:bottom>
    </x:border>
    <x:border>
      <x:right style="thin">
        <x:color rgb="FFD6E0DC"/>
      </x:right>
      <x:bottom style="thin">
        <x:color rgb="FFD6E0DC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3" fillId="4" borderId="3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1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6b965d9dd41ad" /><Relationship Type="http://schemas.openxmlformats.org/officeDocument/2006/relationships/theme" Target="/xl/theme/theme1.xml" Id="Radb44d28d1c34eef" /><Relationship Type="http://schemas.openxmlformats.org/officeDocument/2006/relationships/sharedStrings" Target="/xl/sharedStrings.xml" Id="Ra124c1f3e2fb49f9" /><Relationship Type="http://schemas.openxmlformats.org/officeDocument/2006/relationships/worksheet" Target="/xl/worksheets/sheet1.xml" Id="R50eb31be13dc461f" /><Relationship Type="http://schemas.openxmlformats.org/officeDocument/2006/relationships/worksheet" Target="/xl/worksheets/sheet2.xml" Id="Rd33ccec7869446c8" /><Relationship Type="http://schemas.openxmlformats.org/officeDocument/2006/relationships/worksheet" Target="/xl/worksheets/sheet3.xml" Id="R1e7ec93f34634b5a" /><Relationship Type="http://schemas.openxmlformats.org/officeDocument/2006/relationships/worksheet" Target="/xl/worksheets/sheet4.xml" Id="R73ff427586c748c3" /><Relationship Type="http://schemas.openxmlformats.org/officeDocument/2006/relationships/worksheet" Target="/xl/worksheets/sheet5.xml" Id="R01e3d6a680fa4b42" /></Relationships>
</file>

<file path=xl/tables/table1.xml><?xml version="1.0" encoding="utf-8"?>
<x:table xmlns:x="http://schemas.openxmlformats.org/spreadsheetml/2006/main" id="1" name="HardwareBOM" displayName="HardwareBOM" ref="A8:T38" headerRowCount="1" totalsRowCount="0" totalsRowShown="0">
  <x:tableColumns count="20">
    <x:tableColumn id="1" name="ID"/>
    <x:tableColumn id="2" name="Phase"/>
    <x:tableColumn id="3" name="Category"/>
    <x:tableColumn id="4" name="Item"/>
    <x:tableColumn id="5" name="Manufacturer"/>
    <x:tableColumn id="6" name="Model / SKU"/>
    <x:tableColumn id="7" name="Qty / Rig"/>
    <x:tableColumn id="8" name="Rig Count"/>
    <x:tableColumn id="9" name="Shared Qty"/>
    <x:tableColumn id="10" name="Total Qty"/>
    <x:tableColumn id="11" name="Unit Price (KRW)"/>
    <x:tableColumn id="12" name="Subtotal (KRW)"/>
    <x:tableColumn id="13" name="Priority"/>
    <x:tableColumn id="14" name="Interface"/>
    <x:tableColumn id="15" name="Power / Key Spec"/>
    <x:tableColumn id="16" name="Purpose"/>
    <x:tableColumn id="17" name="Owner Team"/>
    <x:tableColumn id="18" name="Procurement Status"/>
    <x:tableColumn id="19" name="Official Datasheet / Product URL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heetManifest" displayName="DatasheetManifest" ref="A4:I19" headerRowCount="1" totalsRowCount="0" totalsRowShown="0">
  <x:tableColumns count="9">
    <x:tableColumn id="1" name="Item"/>
    <x:tableColumn id="2" name="Selected Model"/>
    <x:tableColumn id="3" name="Official PDF / Spec"/>
    <x:tableColumn id="4" name="Official Module/Product Page"/>
    <x:tableColumn id="5" name="Document Type"/>
    <x:tableColumn id="6" name="Old File Action"/>
    <x:tableColumn id="7" name="Key Procurement Check"/>
    <x:tableColumn id="8" name="Owner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47931e1de748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353bc8ecc64fd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28" hidden="0" customWidth="1"/>
    <x:col min="5" max="5" width="18" hidden="0" customWidth="1"/>
    <x:col min="6" max="6" width="2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5" hidden="0" customWidth="1"/>
    <x:col min="13" max="13" width="10" hidden="0" customWidth="1"/>
    <x:col min="14" max="14" width="18" hidden="0" customWidth="1"/>
    <x:col min="15" max="15" width="26" hidden="0" customWidth="1"/>
    <x:col min="16" max="16" width="28" hidden="0" customWidth="1"/>
    <x:col min="17" max="17" width="24" hidden="0" customWidth="1"/>
    <x:col min="18" max="18" width="15" hidden="0" customWidth="1"/>
    <x:col min="19" max="19" width="46" hidden="0" customWidth="1"/>
    <x:col min="20" max="20" width="40" hidden="0" customWidth="1"/>
  </x:cols>
  <x:sheetData>
    <x:row r="1" ht="30" customHeight="1">
      <x:c r="A1" s="5" t="str">
        <x:v>Pai Chai NEXUS — Smart Seedling AI Hardware BOM v1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2" customHeight="1">
      <x:c r="A2" s="13" t="str">
        <x:v>기준: 3개 독립 Capture Station + 공용 연구장비. 단가/구매처는 국내 재고 기준으로 입력하고 Total/Subtotal은 자동 계산.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>
      <x:c r="A4" s="26" t="str">
        <x:v>기준 Capture Station 수</x:v>
      </x:c>
      <x:c r="B4" s="27" t="n">
        <x:v>3</x:v>
      </x:c>
      <x:c r="D4" s="26" t="str">
        <x:v>BOM 품목 수</x:v>
      </x:c>
      <x:c r="E4" s="27" t="n">
        <x:f>COUNTA(D9:D38)</x:f>
        <x:v>30</x:v>
      </x:c>
      <x:c r="G4" s="26" t="str">
        <x:v>총 구매 수량</x:v>
      </x:c>
      <x:c r="H4" s="27" t="n">
        <x:f>SUM(J9:J38)</x:f>
        <x:v>83</x:v>
      </x:c>
      <x:c r="J4" s="26" t="str">
        <x:v>입력 예산 합계(원)</x:v>
      </x:c>
      <x:c r="K4" s="40" t="n">
        <x:f>SUM(L9:L38)</x:f>
        <x:v>0</x:v>
      </x:c>
    </x:row>
    <x:row r="8" ht="38" customHeight="1">
      <x:c r="A8" s="44" t="str">
        <x:v>ID</x:v>
      </x:c>
      <x:c r="B8" s="45" t="str">
        <x:v>Phase</x:v>
      </x:c>
      <x:c r="C8" s="45" t="str">
        <x:v>Category</x:v>
      </x:c>
      <x:c r="D8" s="45" t="str">
        <x:v>Item</x:v>
      </x:c>
      <x:c r="E8" s="45" t="str">
        <x:v>Manufacturer</x:v>
      </x:c>
      <x:c r="F8" s="45" t="str">
        <x:v>Model / SKU</x:v>
      </x:c>
      <x:c r="G8" s="45" t="str">
        <x:v>Qty / Rig</x:v>
      </x:c>
      <x:c r="H8" s="45" t="str">
        <x:v>Rig Count</x:v>
      </x:c>
      <x:c r="I8" s="45" t="str">
        <x:v>Shared Qty</x:v>
      </x:c>
      <x:c r="J8" s="45" t="str">
        <x:v>Total Qty</x:v>
      </x:c>
      <x:c r="K8" s="45" t="str">
        <x:v>Unit Price (KRW)</x:v>
      </x:c>
      <x:c r="L8" s="45" t="str">
        <x:v>Subtotal (KRW)</x:v>
      </x:c>
      <x:c r="M8" s="45" t="str">
        <x:v>Priority</x:v>
      </x:c>
      <x:c r="N8" s="45" t="str">
        <x:v>Interface</x:v>
      </x:c>
      <x:c r="O8" s="45" t="str">
        <x:v>Power / Key Spec</x:v>
      </x:c>
      <x:c r="P8" s="45" t="str">
        <x:v>Purpose</x:v>
      </x:c>
      <x:c r="Q8" s="45" t="str">
        <x:v>Owner Team</x:v>
      </x:c>
      <x:c r="R8" s="45" t="str">
        <x:v>Procurement Status</x:v>
      </x:c>
      <x:c r="S8" s="45" t="str">
        <x:v>Official Datasheet / Product URL</x:v>
      </x:c>
      <x:c r="T8" s="46" t="str">
        <x:v>Notes</x:v>
      </x:c>
    </x:row>
    <x:row r="9">
      <x:c r="A9" s="79" t="str">
        <x:v>HW-001</x:v>
      </x:c>
      <x:c r="B9" s="80" t="str">
        <x:v>P1 Core</x:v>
      </x:c>
      <x:c r="C9" s="80" t="str">
        <x:v>Compute</x:v>
      </x:c>
      <x:c r="D9" s="80" t="str">
        <x:v>Raspberry Pi 5 4GB</x:v>
      </x:c>
      <x:c r="E9" s="80" t="str">
        <x:v>Raspberry Pi</x:v>
      </x:c>
      <x:c r="F9" s="80" t="str">
        <x:v>Raspberry Pi 5 4GB</x:v>
      </x:c>
      <x:c r="G9" s="80" t="n">
        <x:v>1</x:v>
      </x:c>
      <x:c r="H9" s="80" t="n">
        <x:v>3</x:v>
      </x:c>
      <x:c r="I9" s="80" t="n">
        <x:v>0</x:v>
      </x:c>
      <x:c r="J9" s="80" t="n">
        <x:f>G9*H9+I9</x:f>
        <x:v>3</x:v>
      </x:c>
      <x:c r="K9" s="81"/>
      <x:c r="L9" s="81" t="n">
        <x:f>J9*K9</x:f>
        <x:v>0</x:v>
      </x:c>
      <x:c r="M9" s="80" t="str">
        <x:v>필수</x:v>
      </x:c>
      <x:c r="N9" s="80" t="str">
        <x:v>40-pin GPIO / CSI / USB / GbE</x:v>
      </x:c>
      <x:c r="O9" s="80" t="str">
        <x:v>5V/5A USB-C</x:v>
      </x:c>
      <x:c r="P9" s="80" t="str">
        <x:v>Edge capture, sensor ingestion, local FastAPI/agent</x:v>
      </x:c>
      <x:c r="Q9" s="80" t="str">
        <x:v>Edge/Embedded</x:v>
      </x:c>
      <x:c r="R9" s="80" t="str">
        <x:v>조사완료</x:v>
      </x:c>
      <x:c r="S9" s="80" t="str">
        <x:v>https://pip-assets.raspberrypi.com/categories/892-raspberry-pi-5/documents/RP-008348-DS-6-raspberry-pi-5-product-brief.pdf</x:v>
      </x:c>
      <x:c r="T9" s="82" t="str">
        <x:v>기존 CM4 PDF 대신 공식 Pi 5 Product Brief 사용</x:v>
      </x:c>
    </x:row>
    <x:row r="10">
      <x:c r="A10" s="79" t="str">
        <x:v>HW-002</x:v>
      </x:c>
      <x:c r="B10" s="80" t="str">
        <x:v>P1 Core</x:v>
      </x:c>
      <x:c r="C10" s="80" t="str">
        <x:v>Power</x:v>
      </x:c>
      <x:c r="D10" s="80" t="str">
        <x:v>27W USB-C Power Supply</x:v>
      </x:c>
      <x:c r="E10" s="80" t="str">
        <x:v>Raspberry Pi</x:v>
      </x:c>
      <x:c r="F10" s="80" t="str">
        <x:v>27W USB-C PSU</x:v>
      </x:c>
      <x:c r="G10" s="80" t="n">
        <x:v>1</x:v>
      </x:c>
      <x:c r="H10" s="80" t="n">
        <x:v>3</x:v>
      </x:c>
      <x:c r="I10" s="80" t="n">
        <x:v>0</x:v>
      </x:c>
      <x:c r="J10" s="80" t="n">
        <x:f>G10*H10+I10</x:f>
        <x:v>3</x:v>
      </x:c>
      <x:c r="K10" s="81"/>
      <x:c r="L10" s="81" t="n">
        <x:f>J10*K10</x:f>
        <x:v>0</x:v>
      </x:c>
      <x:c r="M10" s="80" t="str">
        <x:v>필수</x:v>
      </x:c>
      <x:c r="N10" s="80" t="str">
        <x:v>USB-C PD</x:v>
      </x:c>
      <x:c r="O10" s="80" t="str">
        <x:v>5.1V/5A max</x:v>
      </x:c>
      <x:c r="P10" s="80" t="str">
        <x:v>Pi 5 안정 전원</x:v>
      </x:c>
      <x:c r="Q10" s="80" t="str">
        <x:v>Edge/Embedded</x:v>
      </x:c>
      <x:c r="R10" s="80" t="str">
        <x:v>조사완료</x:v>
      </x:c>
      <x:c r="S10" s="80" t="str">
        <x:v>https://pip-assets.raspberrypi.com/categories/898-raspberry-pi-27w-usb-c-power-supply/documents/RP-008245-DS-1-27w-usb-c-power-supply-product-brief.pdf</x:v>
      </x:c>
      <x:c r="T10" s="82" t="str">
        <x:v>국내 사용 시 플러그/안전인증 확인</x:v>
      </x:c>
    </x:row>
    <x:row r="11">
      <x:c r="A11" s="79" t="str">
        <x:v>HW-003</x:v>
      </x:c>
      <x:c r="B11" s="80" t="str">
        <x:v>P1 Core</x:v>
      </x:c>
      <x:c r="C11" s="80" t="str">
        <x:v>Thermal</x:v>
      </x:c>
      <x:c r="D11" s="80" t="str">
        <x:v>Raspberry Pi Active Cooler</x:v>
      </x:c>
      <x:c r="E11" s="80" t="str">
        <x:v>Raspberry Pi</x:v>
      </x:c>
      <x:c r="F11" s="80" t="str">
        <x:v>Active Cooler for Raspberry Pi 5</x:v>
      </x:c>
      <x:c r="G11" s="80" t="n">
        <x:v>1</x:v>
      </x:c>
      <x:c r="H11" s="80" t="n">
        <x:v>3</x:v>
      </x:c>
      <x:c r="I11" s="80" t="n">
        <x:v>0</x:v>
      </x:c>
      <x:c r="J11" s="80" t="n">
        <x:f>G11*H11+I11</x:f>
        <x:v>3</x:v>
      </x:c>
      <x:c r="K11" s="81"/>
      <x:c r="L11" s="81" t="n">
        <x:f>J11*K11</x:f>
        <x:v>0</x:v>
      </x:c>
      <x:c r="M11" s="80" t="str">
        <x:v>필수</x:v>
      </x:c>
      <x:c r="N11" s="80" t="str">
        <x:v>Pi 5 fan header</x:v>
      </x:c>
      <x:c r="O11" s="80" t="str">
        <x:v>5V, PWM/tach</x:v>
      </x:c>
      <x:c r="P11" s="80" t="str">
        <x:v>장시간 촬영·추론 시 열 스로틀링 완화</x:v>
      </x:c>
      <x:c r="Q11" s="80" t="str">
        <x:v>Edge/Embedded</x:v>
      </x:c>
      <x:c r="R11" s="80" t="str">
        <x:v>조사완료</x:v>
      </x:c>
      <x:c r="S11" s="80" t="str">
        <x:v>https://pip-assets.raspberrypi.com/categories/993-raspberry-pi-active-cooler/documents/RP-008188-DS-2-raspberry-pi-active-cooler-product-brief.pdf</x:v>
      </x:c>
      <x:c r="T11" s="82" t="str">
        <x:v>기존 CM5 cooler PDF와 혼동 금지</x:v>
      </x:c>
    </x:row>
    <x:row r="12">
      <x:c r="A12" s="79" t="str">
        <x:v>HW-004</x:v>
      </x:c>
      <x:c r="B12" s="80" t="str">
        <x:v>P1 Core</x:v>
      </x:c>
      <x:c r="C12" s="80" t="str">
        <x:v>Storage</x:v>
      </x:c>
      <x:c r="D12" s="80" t="str">
        <x:v>128GB A2 microSD</x:v>
      </x:c>
      <x:c r="E12" s="80" t="str">
        <x:v>Raspberry Pi</x:v>
      </x:c>
      <x:c r="F12" s="80" t="str">
        <x:v>Raspberry Pi SD Card 128GB</x:v>
      </x:c>
      <x:c r="G12" s="80" t="n">
        <x:v>1</x:v>
      </x:c>
      <x:c r="H12" s="80" t="n">
        <x:v>3</x:v>
      </x:c>
      <x:c r="I12" s="80" t="n">
        <x:v>0</x:v>
      </x:c>
      <x:c r="J12" s="80" t="n">
        <x:f>G12*H12+I12</x:f>
        <x:v>3</x:v>
      </x:c>
      <x:c r="K12" s="81"/>
      <x:c r="L12" s="81" t="n">
        <x:f>J12*K12</x:f>
        <x:v>0</x:v>
      </x:c>
      <x:c r="M12" s="80" t="str">
        <x:v>필수</x:v>
      </x:c>
      <x:c r="N12" s="80" t="str">
        <x:v>microSD</x:v>
      </x:c>
      <x:c r="O12" s="80" t="str">
        <x:v>A2 / C10 / U3 / V30</x:v>
      </x:c>
      <x:c r="P12" s="80" t="str">
        <x:v>OS + local image buffer</x:v>
      </x:c>
      <x:c r="Q12" s="80" t="str">
        <x:v>Edge/Embedded</x:v>
      </x:c>
      <x:c r="R12" s="80" t="str">
        <x:v>조사완료</x:v>
      </x:c>
      <x:c r="S12" s="80" t="str">
        <x:v>https://datasheets.raspberrypi.com/sd-card/sd-card-product-brief.pdf</x:v>
      </x:c>
      <x:c r="T12" s="82" t="str">
        <x:v>14일 raw image pilot 고려해 128GB 권장</x:v>
      </x:c>
    </x:row>
    <x:row r="13">
      <x:c r="A13" s="79" t="str">
        <x:v>HW-005</x:v>
      </x:c>
      <x:c r="B13" s="80" t="str">
        <x:v>P1 Vision</x:v>
      </x:c>
      <x:c r="C13" s="80" t="str">
        <x:v>Camera</x:v>
      </x:c>
      <x:c r="D13" s="80" t="str">
        <x:v>Camera Module 3 Standard</x:v>
      </x:c>
      <x:c r="E13" s="80" t="str">
        <x:v>Raspberry Pi</x:v>
      </x:c>
      <x:c r="F13" s="80" t="str">
        <x:v>Camera Module 3 Standard</x:v>
      </x:c>
      <x:c r="G13" s="80" t="n">
        <x:v>1</x:v>
      </x:c>
      <x:c r="H13" s="80" t="n">
        <x:v>3</x:v>
      </x:c>
      <x:c r="I13" s="80" t="n">
        <x:v>0</x:v>
      </x:c>
      <x:c r="J13" s="80" t="n">
        <x:f>G13*H13+I13</x:f>
        <x:v>3</x:v>
      </x:c>
      <x:c r="K13" s="81"/>
      <x:c r="L13" s="81" t="n">
        <x:f>J13*K13</x:f>
        <x:v>0</x:v>
      </x:c>
      <x:c r="M13" s="80" t="str">
        <x:v>필수</x:v>
      </x:c>
      <x:c r="N13" s="80" t="str">
        <x:v>CSI-2</x:v>
      </x:c>
      <x:c r="O13" s="80" t="str">
        <x:v>Sony IMX708, 11.9MP, autofocus</x:v>
      </x:c>
      <x:c r="P13" s="80" t="str">
        <x:v>고정 RGB 생육 촬영</x:v>
      </x:c>
      <x:c r="Q13" s="80" t="str">
        <x:v>Vision/Data</x:v>
      </x:c>
      <x:c r="R13" s="80" t="str">
        <x:v>조사완료</x:v>
      </x:c>
      <x:c r="S13" s="80" t="str">
        <x:v>https://pip-assets.raspberrypi.com/categories/786-raspberry-pi-camera-module-3/documents/RP-008151-DS-1-camera-module-3-product-brief.pdf</x:v>
      </x:c>
      <x:c r="T13" s="82" t="str">
        <x:v>Standard 권장; NoIR는 1차 MVP 제외</x:v>
      </x:c>
    </x:row>
    <x:row r="14">
      <x:c r="A14" s="79" t="str">
        <x:v>HW-006</x:v>
      </x:c>
      <x:c r="B14" s="80" t="str">
        <x:v>P1 Vision</x:v>
      </x:c>
      <x:c r="C14" s="80" t="str">
        <x:v>Cable</x:v>
      </x:c>
      <x:c r="D14" s="80" t="str">
        <x:v>Camera Cable Standard–Mini 500mm</x:v>
      </x:c>
      <x:c r="E14" s="80" t="str">
        <x:v>Raspberry Pi</x:v>
      </x:c>
      <x:c r="F14" s="80" t="str">
        <x:v>Standard–Mini 500mm</x:v>
      </x:c>
      <x:c r="G14" s="80" t="n">
        <x:v>1</x:v>
      </x:c>
      <x:c r="H14" s="80" t="n">
        <x:v>3</x:v>
      </x:c>
      <x:c r="I14" s="80" t="n">
        <x:v>0</x:v>
      </x:c>
      <x:c r="J14" s="80" t="n">
        <x:f>G14*H14+I14</x:f>
        <x:v>3</x:v>
      </x:c>
      <x:c r="K14" s="81"/>
      <x:c r="L14" s="81" t="n">
        <x:f>J14*K14</x:f>
        <x:v>0</x:v>
      </x:c>
      <x:c r="M14" s="80" t="str">
        <x:v>필수</x:v>
      </x:c>
      <x:c r="N14" s="80" t="str">
        <x:v>15-pin camera → 22-way Pi 5 FPC</x:v>
      </x:c>
      <x:c r="O14" s="80" t="str">
        <x:v>Shielded, 500mm</x:v>
      </x:c>
      <x:c r="P14" s="80" t="str">
        <x:v>상부 카메라와 Pi 5 연결</x:v>
      </x:c>
      <x:c r="Q14" s="80" t="str">
        <x:v>Mechanical/Optics</x:v>
      </x:c>
      <x:c r="R14" s="80" t="str">
        <x:v>조사완료</x:v>
      </x:c>
      <x:c r="S14" s="80" t="str">
        <x:v>https://www.raspberrypi.com/products/camera-cable/?variant=camera-cable-std-mini-500</x:v>
      </x:c>
      <x:c r="T14" s="82" t="str">
        <x:v>500mm standalone datasheet 대신 공식 product page 기준</x:v>
      </x:c>
    </x:row>
    <x:row r="15">
      <x:c r="A15" s="79" t="str">
        <x:v>HW-007</x:v>
      </x:c>
      <x:c r="B15" s="80" t="str">
        <x:v>P1 Sensor</x:v>
      </x:c>
      <x:c r="C15" s="80" t="str">
        <x:v>Environment</x:v>
      </x:c>
      <x:c r="D15" s="80" t="str">
        <x:v>Gravity BME280 Environmental Sensor</x:v>
      </x:c>
      <x:c r="E15" s="80" t="str">
        <x:v>DFRobot</x:v>
      </x:c>
      <x:c r="F15" s="80" t="str">
        <x:v>SEN0236</x:v>
      </x:c>
      <x:c r="G15" s="80" t="n">
        <x:v>1</x:v>
      </x:c>
      <x:c r="H15" s="80" t="n">
        <x:v>3</x:v>
      </x:c>
      <x:c r="I15" s="80" t="n">
        <x:v>0</x:v>
      </x:c>
      <x:c r="J15" s="80" t="n">
        <x:f>G15*H15+I15</x:f>
        <x:v>3</x:v>
      </x:c>
      <x:c r="K15" s="81"/>
      <x:c r="L15" s="81" t="n">
        <x:f>J15*K15</x:f>
        <x:v>0</x:v>
      </x:c>
      <x:c r="M15" s="80" t="str">
        <x:v>필수</x:v>
      </x:c>
      <x:c r="N15" s="80" t="str">
        <x:v>I2C</x:v>
      </x:c>
      <x:c r="O15" s="80" t="str">
        <x:v>3.3–5V; T/RH/pressure</x:v>
      </x:c>
      <x:c r="P15" s="80" t="str">
        <x:v>온도·습도 환경 컨텍스트</x:v>
      </x:c>
      <x:c r="Q15" s="80" t="str">
        <x:v>Electronics/Sensors</x:v>
      </x:c>
      <x:c r="R15" s="80" t="str">
        <x:v>조사완료</x:v>
      </x:c>
      <x:c r="S15" s="80" t="str">
        <x:v>https://wiki.dfrobot.com/sen0236/</x:v>
      </x:c>
      <x:c r="T15" s="82" t="str">
        <x:v>보드 사양은 DFRobot Wiki, 칩 사양은 Bosch datasheet 병행</x:v>
      </x:c>
    </x:row>
    <x:row r="16">
      <x:c r="A16" s="79" t="str">
        <x:v>HW-008</x:v>
      </x:c>
      <x:c r="B16" s="80" t="str">
        <x:v>P1 Sensor</x:v>
      </x:c>
      <x:c r="C16" s="80" t="str">
        <x:v>Light</x:v>
      </x:c>
      <x:c r="D16" s="80" t="str">
        <x:v>Gravity VEML7700 Ambient Light Sensor</x:v>
      </x:c>
      <x:c r="E16" s="80" t="str">
        <x:v>DFRobot</x:v>
      </x:c>
      <x:c r="F16" s="80" t="str">
        <x:v>SEN0228</x:v>
      </x:c>
      <x:c r="G16" s="80" t="n">
        <x:v>1</x:v>
      </x:c>
      <x:c r="H16" s="80" t="n">
        <x:v>3</x:v>
      </x:c>
      <x:c r="I16" s="80" t="n">
        <x:v>0</x:v>
      </x:c>
      <x:c r="J16" s="80" t="n">
        <x:f>G16*H16+I16</x:f>
        <x:v>3</x:v>
      </x:c>
      <x:c r="K16" s="81"/>
      <x:c r="L16" s="81" t="n">
        <x:f>J16*K16</x:f>
        <x:v>0</x:v>
      </x:c>
      <x:c r="M16" s="80" t="str">
        <x:v>필수</x:v>
      </x:c>
      <x:c r="N16" s="80" t="str">
        <x:v>I2C</x:v>
      </x:c>
      <x:c r="O16" s="80" t="str">
        <x:v>3.3–5V; 0–120 klx</x:v>
      </x:c>
      <x:c r="P16" s="80" t="str">
        <x:v>촬영/재배 조도 기록</x:v>
      </x:c>
      <x:c r="Q16" s="80" t="str">
        <x:v>Electronics/Sensors</x:v>
      </x:c>
      <x:c r="R16" s="80" t="str">
        <x:v>조사완료</x:v>
      </x:c>
      <x:c r="S16" s="80" t="str">
        <x:v>https://wiki.dfrobot.com/sen0228/</x:v>
      </x:c>
      <x:c r="T16" s="82" t="str">
        <x:v>BH1750 대신 VEML7700으로 표준화 권장</x:v>
      </x:c>
    </x:row>
    <x:row r="17">
      <x:c r="A17" s="79" t="str">
        <x:v>HW-009</x:v>
      </x:c>
      <x:c r="B17" s="80" t="str">
        <x:v>P1 Sensor</x:v>
      </x:c>
      <x:c r="C17" s="80" t="str">
        <x:v>ADC</x:v>
      </x:c>
      <x:c r="D17" s="80" t="str">
        <x:v>Gravity ADS1115 16-bit ADC Module</x:v>
      </x:c>
      <x:c r="E17" s="80" t="str">
        <x:v>DFRobot</x:v>
      </x:c>
      <x:c r="F17" s="80" t="str">
        <x:v>DFR0553</x:v>
      </x:c>
      <x:c r="G17" s="80" t="n">
        <x:v>1</x:v>
      </x:c>
      <x:c r="H17" s="80" t="n">
        <x:v>3</x:v>
      </x:c>
      <x:c r="I17" s="80" t="n">
        <x:v>0</x:v>
      </x:c>
      <x:c r="J17" s="80" t="n">
        <x:f>G17*H17+I17</x:f>
        <x:v>3</x:v>
      </x:c>
      <x:c r="K17" s="81"/>
      <x:c r="L17" s="81" t="n">
        <x:f>J17*K17</x:f>
        <x:v>0</x:v>
      </x:c>
      <x:c r="M17" s="80" t="str">
        <x:v>필수</x:v>
      </x:c>
      <x:c r="N17" s="80" t="str">
        <x:v>I2C + 4 analog inputs</x:v>
      </x:c>
      <x:c r="O17" s="80" t="str">
        <x:v>3.3–5V; 16-bit</x:v>
      </x:c>
      <x:c r="P17" s="80" t="str">
        <x:v>Pi 5에서 아날로그 토양수분센서 읽기</x:v>
      </x:c>
      <x:c r="Q17" s="80" t="str">
        <x:v>Electronics/Sensors</x:v>
      </x:c>
      <x:c r="R17" s="80" t="str">
        <x:v>조사완료</x:v>
      </x:c>
      <x:c r="S17" s="80" t="str">
        <x:v>https://wiki.dfrobot.com/dfr0553/</x:v>
      </x:c>
      <x:c r="T17" s="82" t="str">
        <x:v>SEN0193 사용 시 필수</x:v>
      </x:c>
    </x:row>
    <x:row r="18">
      <x:c r="A18" s="79" t="str">
        <x:v>HW-010</x:v>
      </x:c>
      <x:c r="B18" s="80" t="str">
        <x:v>P1 Sensor</x:v>
      </x:c>
      <x:c r="C18" s="80" t="str">
        <x:v>Soil</x:v>
      </x:c>
      <x:c r="D18" s="80" t="str">
        <x:v>Capacitive Soil Moisture Sensor</x:v>
      </x:c>
      <x:c r="E18" s="80" t="str">
        <x:v>DFRobot</x:v>
      </x:c>
      <x:c r="F18" s="80" t="str">
        <x:v>SEN0193</x:v>
      </x:c>
      <x:c r="G18" s="80" t="n">
        <x:v>2</x:v>
      </x:c>
      <x:c r="H18" s="80" t="n">
        <x:v>3</x:v>
      </x:c>
      <x:c r="I18" s="80" t="n">
        <x:v>0</x:v>
      </x:c>
      <x:c r="J18" s="80" t="n">
        <x:f>G18*H18+I18</x:f>
        <x:v>6</x:v>
      </x:c>
      <x:c r="K18" s="81"/>
      <x:c r="L18" s="81" t="n">
        <x:f>J18*K18</x:f>
        <x:v>0</x:v>
      </x:c>
      <x:c r="M18" s="80" t="str">
        <x:v>필수</x:v>
      </x:c>
      <x:c r="N18" s="80" t="str">
        <x:v>Analog → ADS1115</x:v>
      </x:c>
      <x:c r="O18" s="80" t="str">
        <x:v>3.3–5.5V; analog 0–3.0V</x:v>
      </x:c>
      <x:c r="P18" s="80" t="str">
        <x:v>배지 수분 상대 변화·공간 편차</x:v>
      </x:c>
      <x:c r="Q18" s="80" t="str">
        <x:v>Electronics/Sensors</x:v>
      </x:c>
      <x:c r="R18" s="80" t="str">
        <x:v>조사완료</x:v>
      </x:c>
      <x:c r="S18" s="80" t="str">
        <x:v>https://wiki.dfrobot.com/sen0193/</x:v>
      </x:c>
      <x:c r="T18" s="82" t="str">
        <x:v>raw ADC + dry/wet calibration 저장; 절대 VWC로 과장 금지</x:v>
      </x:c>
    </x:row>
    <x:row r="19">
      <x:c r="A19" s="79" t="str">
        <x:v>HW-011</x:v>
      </x:c>
      <x:c r="B19" s="80" t="str">
        <x:v>P1 Optics</x:v>
      </x:c>
      <x:c r="C19" s="80" t="str">
        <x:v>Lighting</x:v>
      </x:c>
      <x:c r="D19" s="80" t="str">
        <x:v>High-CRI flicker-free linear light (reference)</x:v>
      </x:c>
      <x:c r="E19" s="80" t="str">
        <x:v>Waveform Lighting</x:v>
      </x:c>
      <x:c r="F19" s="80" t="str">
        <x:v>4026.50.2F (5000K, 2-ft)</x:v>
      </x:c>
      <x:c r="G19" s="80" t="n">
        <x:v>2</x:v>
      </x:c>
      <x:c r="H19" s="80" t="n">
        <x:v>3</x:v>
      </x:c>
      <x:c r="I19" s="80" t="n">
        <x:v>0</x:v>
      </x:c>
      <x:c r="J19" s="80" t="n">
        <x:f>G19*H19+I19</x:f>
        <x:v>6</x:v>
      </x:c>
      <x:c r="K19" s="81"/>
      <x:c r="L19" s="81" t="n">
        <x:f>J19*K19</x:f>
        <x:v>0</x:v>
      </x:c>
      <x:c r="M19" s="80" t="str">
        <x:v>필수</x:v>
      </x:c>
      <x:c r="N19" s="80" t="str">
        <x:v>AC mains</x:v>
      </x:c>
      <x:c r="O19" s="80" t="str">
        <x:v>5000K; CRI 95+; flicker-free; 9W/900 lm</x:v>
      </x:c>
      <x:c r="P19" s="80" t="str">
        <x:v>HSV/색상 분석용 조명 표준화</x:v>
      </x:c>
      <x:c r="Q19" s="80" t="str">
        <x:v>Mechanical/Optics</x:v>
      </x:c>
      <x:c r="R19" s="80" t="str">
        <x:v>후보확정</x:v>
      </x:c>
      <x:c r="S19" s="80" t="str">
        <x:v>https://store.waveformlighting.com/products/centric-daylight-95-cri-t5-led-linear-light-fixture</x:v>
      </x:c>
      <x:c r="T19" s="82" t="str">
        <x:v>한국 발주는 KC 인증 동급품(CRI≥95, 5000K, flicker-free) 우선; 이 제품은 reference spec</x:v>
      </x:c>
    </x:row>
    <x:row r="20">
      <x:c r="A20" s="79" t="str">
        <x:v>HW-012</x:v>
      </x:c>
      <x:c r="B20" s="80" t="str">
        <x:v>P1 Optics</x:v>
      </x:c>
      <x:c r="C20" s="80" t="str">
        <x:v>Diffuser</x:v>
      </x:c>
      <x:c r="D20" s="80" t="str">
        <x:v>Opal diffuser sheet</x:v>
      </x:c>
      <x:c r="E20" s="80" t="str">
        <x:v>Vendor TBD</x:v>
      </x:c>
      <x:c r="F20" s="80" t="str">
        <x:v>PMMA/PC opal 2mm class</x:v>
      </x:c>
      <x:c r="G20" s="80" t="n">
        <x:v>1</x:v>
      </x:c>
      <x:c r="H20" s="80" t="n">
        <x:v>3</x:v>
      </x:c>
      <x:c r="I20" s="80" t="n">
        <x:v>0</x:v>
      </x:c>
      <x:c r="J20" s="80" t="n">
        <x:f>G20*H20+I20</x:f>
        <x:v>3</x:v>
      </x:c>
      <x:c r="K20" s="81"/>
      <x:c r="L20" s="81" t="n">
        <x:f>J20*K20</x:f>
        <x:v>0</x:v>
      </x:c>
      <x:c r="M20" s="80" t="str">
        <x:v>필수</x:v>
      </x:c>
      <x:c r="N20" s="80" t="str">
        <x:v>Mechanical</x:v>
      </x:c>
      <x:c r="O20" s="80" t="str">
        <x:v>Vendor-dependent transmittance/haze</x:v>
      </x:c>
      <x:c r="P20" s="80" t="str">
        <x:v>그림자·핫스팟 완화</x:v>
      </x:c>
      <x:c r="Q20" s="80" t="str">
        <x:v>Mechanical/Optics</x:v>
      </x:c>
      <x:c r="R20" s="80" t="str">
        <x:v>벤더선정필요</x:v>
      </x:c>
      <x:c r="S20" s="80" t="str"/>
      <x:c r="T20" s="82" t="str">
        <x:v>트레이/광원 거리 결정 후 투과율·헤이즈 datasheet 있는 소재 선택</x:v>
      </x:c>
    </x:row>
    <x:row r="21">
      <x:c r="A21" s="79" t="str">
        <x:v>HW-013</x:v>
      </x:c>
      <x:c r="B21" s="80" t="str">
        <x:v>P1 Optics</x:v>
      </x:c>
      <x:c r="C21" s="80" t="str">
        <x:v>Calibration</x:v>
      </x:c>
      <x:c r="D21" s="80" t="str">
        <x:v>Metric scale + ArUco board</x:v>
      </x:c>
      <x:c r="E21" s="80" t="str">
        <x:v>In-house</x:v>
      </x:c>
      <x:c r="F21" s="80" t="str">
        <x:v>A4 rigid board</x:v>
      </x:c>
      <x:c r="G21" s="80" t="n">
        <x:v>1</x:v>
      </x:c>
      <x:c r="H21" s="80" t="n">
        <x:v>3</x:v>
      </x:c>
      <x:c r="I21" s="80" t="n">
        <x:v>0</x:v>
      </x:c>
      <x:c r="J21" s="80" t="n">
        <x:f>G21*H21+I21</x:f>
        <x:v>3</x:v>
      </x:c>
      <x:c r="K21" s="81"/>
      <x:c r="L21" s="81" t="n">
        <x:f>J21*K21</x:f>
        <x:v>0</x:v>
      </x:c>
      <x:c r="M21" s="80" t="str">
        <x:v>필수</x:v>
      </x:c>
      <x:c r="N21" s="80" t="str">
        <x:v>Visual fiducial</x:v>
      </x:c>
      <x:c r="O21" s="80" t="str">
        <x:v>known dimensions</x:v>
      </x:c>
      <x:c r="P21" s="80" t="str">
        <x:v>pixels_per_cm 및 투시보정 검증</x:v>
      </x:c>
      <x:c r="Q21" s="80" t="str">
        <x:v>Vision/Data</x:v>
      </x:c>
      <x:c r="R21" s="80" t="str">
        <x:v>설계필요</x:v>
      </x:c>
      <x:c r="S21" s="80" t="str"/>
      <x:c r="T21" s="82" t="str">
        <x:v>트레이 평면과 동일 높이, 실제 치수 검증, 무광 권장</x:v>
      </x:c>
    </x:row>
    <x:row r="22">
      <x:c r="A22" s="79" t="str">
        <x:v>HW-014</x:v>
      </x:c>
      <x:c r="B22" s="80" t="str">
        <x:v>P1 Optics</x:v>
      </x:c>
      <x:c r="C22" s="80" t="str">
        <x:v>Calibration</x:v>
      </x:c>
      <x:c r="D22" s="80" t="str">
        <x:v>ColorChecker Classic Mini</x:v>
      </x:c>
      <x:c r="E22" s="80" t="str">
        <x:v>Calibrite</x:v>
      </x:c>
      <x:c r="F22" s="80" t="str">
        <x:v>CCC-MINI</x:v>
      </x:c>
      <x:c r="G22" s="80" t="n">
        <x:v>0</x:v>
      </x:c>
      <x:c r="H22" s="80" t="n">
        <x:v>3</x:v>
      </x:c>
      <x:c r="I22" s="80" t="n">
        <x:v>1</x:v>
      </x:c>
      <x:c r="J22" s="80" t="n">
        <x:f>G22*H22+I22</x:f>
        <x:v>1</x:v>
      </x:c>
      <x:c r="K22" s="81"/>
      <x:c r="L22" s="81" t="n">
        <x:f>J22*K22</x:f>
        <x:v>0</x:v>
      </x:c>
      <x:c r="M22" s="80" t="str">
        <x:v>권장</x:v>
      </x:c>
      <x:c r="N22" s="80" t="str">
        <x:v>Optical reference</x:v>
      </x:c>
      <x:c r="O22" s="80" t="str">
        <x:v>24 patches; 63.5×109mm</x:v>
      </x:c>
      <x:c r="P22" s="80" t="str">
        <x:v>카메라/조명 색 일관성 점검</x:v>
      </x:c>
      <x:c r="Q22" s="80" t="str">
        <x:v>Vision/Data</x:v>
      </x:c>
      <x:c r="R22" s="80" t="str">
        <x:v>조사완료</x:v>
      </x:c>
      <x:c r="S22" s="80" t="str">
        <x:v>https://calibrite.com/ko/product/colorchecker-classic-mini/?noredirect=ko-KR</x:v>
      </x:c>
      <x:c r="T22" s="82" t="str">
        <x:v>공용 1개; 세팅/주기 검증용</x:v>
      </x:c>
    </x:row>
    <x:row r="23">
      <x:c r="A23" s="79" t="str">
        <x:v>HW-015</x:v>
      </x:c>
      <x:c r="B23" s="80" t="str">
        <x:v>P1 Mechanical</x:v>
      </x:c>
      <x:c r="C23" s="80" t="str">
        <x:v>Rig</x:v>
      </x:c>
      <x:c r="D23" s="80" t="str">
        <x:v>2020 Aluminum Extrusion Capture Rig</x:v>
      </x:c>
      <x:c r="E23" s="80" t="str">
        <x:v>Vendor TBD</x:v>
      </x:c>
      <x:c r="F23" s="80" t="str">
        <x:v>Custom</x:v>
      </x:c>
      <x:c r="G23" s="80" t="n">
        <x:v>1</x:v>
      </x:c>
      <x:c r="H23" s="80" t="n">
        <x:v>3</x:v>
      </x:c>
      <x:c r="I23" s="80" t="n">
        <x:v>0</x:v>
      </x:c>
      <x:c r="J23" s="80" t="n">
        <x:f>G23*H23+I23</x:f>
        <x:v>3</x:v>
      </x:c>
      <x:c r="K23" s="81"/>
      <x:c r="L23" s="81" t="n">
        <x:f>J23*K23</x:f>
        <x:v>0</x:v>
      </x:c>
      <x:c r="M23" s="80" t="str">
        <x:v>필수</x:v>
      </x:c>
      <x:c r="N23" s="80" t="str">
        <x:v>Mechanical</x:v>
      </x:c>
      <x:c r="O23" s="80" t="str">
        <x:v>camera height &amp; light positions locked</x:v>
      </x:c>
      <x:c r="P23" s="80" t="str">
        <x:v>카메라 높이/각도/조명 위치 고정</x:v>
      </x:c>
      <x:c r="Q23" s="80" t="str">
        <x:v>Mechanical/Optics</x:v>
      </x:c>
      <x:c r="R23" s="80" t="str">
        <x:v>치수미정</x:v>
      </x:c>
      <x:c r="S23" s="80" t="str"/>
      <x:c r="T23" s="82" t="str">
        <x:v>작물·트레이 규격 확정 후 길이 결정</x:v>
      </x:c>
    </x:row>
    <x:row r="24">
      <x:c r="A24" s="79" t="str">
        <x:v>HW-016</x:v>
      </x:c>
      <x:c r="B24" s="80" t="str">
        <x:v>P1 Mechanical</x:v>
      </x:c>
      <x:c r="C24" s="80" t="str">
        <x:v>Mount</x:v>
      </x:c>
      <x:c r="D24" s="80" t="str">
        <x:v>Fixed camera mounting plate</x:v>
      </x:c>
      <x:c r="E24" s="80" t="str">
        <x:v>In-house / Vendor TBD</x:v>
      </x:c>
      <x:c r="F24" s="80" t="str">
        <x:v>Custom fixed mount</x:v>
      </x:c>
      <x:c r="G24" s="80" t="n">
        <x:v>1</x:v>
      </x:c>
      <x:c r="H24" s="80" t="n">
        <x:v>3</x:v>
      </x:c>
      <x:c r="I24" s="80" t="n">
        <x:v>0</x:v>
      </x:c>
      <x:c r="J24" s="80" t="n">
        <x:f>G24*H24+I24</x:f>
        <x:v>3</x:v>
      </x:c>
      <x:c r="K24" s="81"/>
      <x:c r="L24" s="81" t="n">
        <x:f>J24*K24</x:f>
        <x:v>0</x:v>
      </x:c>
      <x:c r="M24" s="80" t="str">
        <x:v>필수</x:v>
      </x:c>
      <x:c r="N24" s="80" t="str">
        <x:v>Mechanical</x:v>
      </x:c>
      <x:c r="O24" s="80" t="str">
        <x:v>no free-moving ball head</x:v>
      </x:c>
      <x:c r="P24" s="80" t="str">
        <x:v>반복 촬영 camera pose 고정</x:v>
      </x:c>
      <x:c r="Q24" s="80" t="str">
        <x:v>Mechanical/Optics</x:v>
      </x:c>
      <x:c r="R24" s="80" t="str">
        <x:v>설계필요</x:v>
      </x:c>
      <x:c r="S24" s="80" t="str"/>
      <x:c r="T24" s="82" t="str">
        <x:v>볼헤드보다 각도 잠금형 고정판 권장</x:v>
      </x:c>
    </x:row>
    <x:row r="25">
      <x:c r="A25" s="79" t="str">
        <x:v>HW-017</x:v>
      </x:c>
      <x:c r="B25" s="80" t="str">
        <x:v>P1 Mechanical</x:v>
      </x:c>
      <x:c r="C25" s="80" t="str">
        <x:v>Enclosure</x:v>
      </x:c>
      <x:c r="D25" s="80" t="str">
        <x:v>Pi + sensor electronics enclosure</x:v>
      </x:c>
      <x:c r="E25" s="80" t="str">
        <x:v>In-house / Vendor TBD</x:v>
      </x:c>
      <x:c r="F25" s="80" t="str">
        <x:v>Ventilated enclosure</x:v>
      </x:c>
      <x:c r="G25" s="80" t="n">
        <x:v>1</x:v>
      </x:c>
      <x:c r="H25" s="80" t="n">
        <x:v>3</x:v>
      </x:c>
      <x:c r="I25" s="80" t="n">
        <x:v>0</x:v>
      </x:c>
      <x:c r="J25" s="80" t="n">
        <x:f>G25*H25+I25</x:f>
        <x:v>3</x:v>
      </x:c>
      <x:c r="K25" s="81"/>
      <x:c r="L25" s="81" t="n">
        <x:f>J25*K25</x:f>
        <x:v>0</x:v>
      </x:c>
      <x:c r="M25" s="80" t="str">
        <x:v>권장</x:v>
      </x:c>
      <x:c r="N25" s="80" t="str">
        <x:v>Mechanical</x:v>
      </x:c>
      <x:c r="O25" s="80" t="str">
        <x:v>ventilation; splash separation</x:v>
      </x:c>
      <x:c r="P25" s="80" t="str">
        <x:v>배선 보호·실험장비 표준화</x:v>
      </x:c>
      <x:c r="Q25" s="80" t="str">
        <x:v>Mechanical/Optics</x:v>
      </x:c>
      <x:c r="R25" s="80" t="str">
        <x:v>설계필요</x:v>
      </x:c>
      <x:c r="S25" s="80" t="str"/>
      <x:c r="T25" s="82" t="str">
        <x:v>관수부와 전자부 물리 분리</x:v>
      </x:c>
    </x:row>
    <x:row r="26">
      <x:c r="A26" s="79" t="str">
        <x:v>HW-018</x:v>
      </x:c>
      <x:c r="B26" s="80" t="str">
        <x:v>P1 Wiring</x:v>
      </x:c>
      <x:c r="C26" s="80" t="str">
        <x:v>Fastener</x:v>
      </x:c>
      <x:c r="D26" s="80" t="str">
        <x:v>M2.5 spacer / screw set</x:v>
      </x:c>
      <x:c r="E26" s="80" t="str">
        <x:v>Generic</x:v>
      </x:c>
      <x:c r="F26" s="80" t="str">
        <x:v>M2.5 kit</x:v>
      </x:c>
      <x:c r="G26" s="80" t="n">
        <x:v>1</x:v>
      </x:c>
      <x:c r="H26" s="80" t="n">
        <x:v>3</x:v>
      </x:c>
      <x:c r="I26" s="80" t="n">
        <x:v>0</x:v>
      </x:c>
      <x:c r="J26" s="80" t="n">
        <x:f>G26*H26+I26</x:f>
        <x:v>3</x:v>
      </x:c>
      <x:c r="K26" s="81"/>
      <x:c r="L26" s="81" t="n">
        <x:f>J26*K26</x:f>
        <x:v>0</x:v>
      </x:c>
      <x:c r="M26" s="80" t="str">
        <x:v>권장</x:v>
      </x:c>
      <x:c r="N26" s="80" t="str">
        <x:v>Mechanical</x:v>
      </x:c>
      <x:c r="O26" s="80" t="str">
        <x:v>nylon/brass</x:v>
      </x:c>
      <x:c r="P26" s="80" t="str">
        <x:v>Pi/센서 고정</x:v>
      </x:c>
      <x:c r="Q26" s="80" t="str">
        <x:v>Electronics/Sensors</x:v>
      </x:c>
      <x:c r="R26" s="80" t="str">
        <x:v>구매대기</x:v>
      </x:c>
      <x:c r="S26" s="80" t="str"/>
      <x:c r="T26" s="82" t="str">
        <x:v>실제 구매 모델과 규격 일치 확인</x:v>
      </x:c>
    </x:row>
    <x:row r="27">
      <x:c r="A27" s="79" t="str">
        <x:v>HW-019</x:v>
      </x:c>
      <x:c r="B27" s="80" t="str">
        <x:v>P1 Wiring</x:v>
      </x:c>
      <x:c r="C27" s="80" t="str">
        <x:v>Cable</x:v>
      </x:c>
      <x:c r="D27" s="80" t="str">
        <x:v>Gravity I2C / Analog spare cables</x:v>
      </x:c>
      <x:c r="E27" s="80" t="str">
        <x:v>DFRobot / compatible</x:v>
      </x:c>
      <x:c r="F27" s="80" t="str">
        <x:v>PH2.0-4P + 3P spares</x:v>
      </x:c>
      <x:c r="G27" s="80" t="n">
        <x:v>0</x:v>
      </x:c>
      <x:c r="H27" s="80" t="n">
        <x:v>3</x:v>
      </x:c>
      <x:c r="I27" s="80" t="n">
        <x:v>6</x:v>
      </x:c>
      <x:c r="J27" s="80" t="n">
        <x:f>G27*H27+I27</x:f>
        <x:v>6</x:v>
      </x:c>
      <x:c r="K27" s="81"/>
      <x:c r="L27" s="81" t="n">
        <x:f>J27*K27</x:f>
        <x:v>0</x:v>
      </x:c>
      <x:c r="M27" s="80" t="str">
        <x:v>권장</x:v>
      </x:c>
      <x:c r="N27" s="80" t="str">
        <x:v>I2C / Analog</x:v>
      </x:c>
      <x:c r="O27" s="80" t="str">
        <x:v>spares</x:v>
      </x:c>
      <x:c r="P27" s="80" t="str">
        <x:v>센서 배선 예비품</x:v>
      </x:c>
      <x:c r="Q27" s="80" t="str">
        <x:v>Electronics/Sensors</x:v>
      </x:c>
      <x:c r="R27" s="80" t="str">
        <x:v>구매대기</x:v>
      </x:c>
      <x:c r="S27" s="80" t="str"/>
      <x:c r="T27" s="82" t="str">
        <x:v>모듈 동봉 케이블 확인 후 중복 구매 방지</x:v>
      </x:c>
    </x:row>
    <x:row r="28">
      <x:c r="A28" s="79" t="str">
        <x:v>HW-020</x:v>
      </x:c>
      <x:c r="B28" s="80" t="str">
        <x:v>P1 Network</x:v>
      </x:c>
      <x:c r="C28" s="80" t="str">
        <x:v>Network</x:v>
      </x:c>
      <x:c r="D28" s="80" t="str">
        <x:v>8-port Gigabit Ethernet Switch</x:v>
      </x:c>
      <x:c r="E28" s="80" t="str">
        <x:v>Vendor TBD</x:v>
      </x:c>
      <x:c r="F28" s="80" t="str">
        <x:v>Unmanaged 8-port GbE</x:v>
      </x:c>
      <x:c r="G28" s="80" t="n">
        <x:v>0</x:v>
      </x:c>
      <x:c r="H28" s="80" t="n">
        <x:v>3</x:v>
      </x:c>
      <x:c r="I28" s="80" t="n">
        <x:v>1</x:v>
      </x:c>
      <x:c r="J28" s="80" t="n">
        <x:f>G28*H28+I28</x:f>
        <x:v>1</x:v>
      </x:c>
      <x:c r="K28" s="81"/>
      <x:c r="L28" s="81" t="n">
        <x:f>J28*K28</x:f>
        <x:v>0</x:v>
      </x:c>
      <x:c r="M28" s="80" t="str">
        <x:v>권장</x:v>
      </x:c>
      <x:c r="N28" s="80" t="str">
        <x:v>GbE</x:v>
      </x:c>
      <x:c r="O28" s="80" t="str">
        <x:v>1 Gbps</x:v>
      </x:c>
      <x:c r="P28" s="80" t="str">
        <x:v>3 station 동시 수집/SSH</x:v>
      </x:c>
      <x:c r="Q28" s="80" t="str">
        <x:v>Backend/Frontend</x:v>
      </x:c>
      <x:c r="R28" s="80" t="str">
        <x:v>벤더선정필요</x:v>
      </x:c>
      <x:c r="S28" s="80" t="str"/>
      <x:c r="T28" s="82" t="str">
        <x:v>기존 랩 스위치 있으면 생략</x:v>
      </x:c>
    </x:row>
    <x:row r="29">
      <x:c r="A29" s="79" t="str">
        <x:v>HW-021</x:v>
      </x:c>
      <x:c r="B29" s="80" t="str">
        <x:v>P1 Network</x:v>
      </x:c>
      <x:c r="C29" s="80" t="str">
        <x:v>Cable</x:v>
      </x:c>
      <x:c r="D29" s="80" t="str">
        <x:v>CAT6 patch cable 2m</x:v>
      </x:c>
      <x:c r="E29" s="80" t="str">
        <x:v>Vendor TBD</x:v>
      </x:c>
      <x:c r="F29" s="80" t="str">
        <x:v>CAT6</x:v>
      </x:c>
      <x:c r="G29" s="80" t="n">
        <x:v>0</x:v>
      </x:c>
      <x:c r="H29" s="80" t="n">
        <x:v>3</x:v>
      </x:c>
      <x:c r="I29" s="80" t="n">
        <x:v>4</x:v>
      </x:c>
      <x:c r="J29" s="80" t="n">
        <x:f>G29*H29+I29</x:f>
        <x:v>4</x:v>
      </x:c>
      <x:c r="K29" s="81"/>
      <x:c r="L29" s="81" t="n">
        <x:f>J29*K29</x:f>
        <x:v>0</x:v>
      </x:c>
      <x:c r="M29" s="80" t="str">
        <x:v>권장</x:v>
      </x:c>
      <x:c r="N29" s="80" t="str">
        <x:v>Ethernet</x:v>
      </x:c>
      <x:c r="O29" s="80" t="str">
        <x:v>1 Gbps</x:v>
      </x:c>
      <x:c r="P29" s="80" t="str">
        <x:v>3 station + spare</x:v>
      </x:c>
      <x:c r="Q29" s="80" t="str">
        <x:v>Backend/Frontend</x:v>
      </x:c>
      <x:c r="R29" s="80" t="str">
        <x:v>벤더선정필요</x:v>
      </x:c>
      <x:c r="S29" s="80" t="str"/>
      <x:c r="T29" s="82" t="str">
        <x:v>장기 실험은 유선 권장</x:v>
      </x:c>
    </x:row>
    <x:row r="30">
      <x:c r="A30" s="79" t="str">
        <x:v>HW-022</x:v>
      </x:c>
      <x:c r="B30" s="80" t="str">
        <x:v>P1 Lab</x:v>
      </x:c>
      <x:c r="C30" s="80" t="str">
        <x:v>Tool</x:v>
      </x:c>
      <x:c r="D30" s="80" t="str">
        <x:v>Digital multimeter</x:v>
      </x:c>
      <x:c r="E30" s="80" t="str">
        <x:v>Vendor TBD</x:v>
      </x:c>
      <x:c r="F30" s="80" t="str">
        <x:v>True-RMS preferred</x:v>
      </x:c>
      <x:c r="G30" s="80" t="n">
        <x:v>0</x:v>
      </x:c>
      <x:c r="H30" s="80" t="n">
        <x:v>3</x:v>
      </x:c>
      <x:c r="I30" s="80" t="n">
        <x:v>2</x:v>
      </x:c>
      <x:c r="J30" s="80" t="n">
        <x:f>G30*H30+I30</x:f>
        <x:v>2</x:v>
      </x:c>
      <x:c r="K30" s="81"/>
      <x:c r="L30" s="81" t="n">
        <x:f>J30*K30</x:f>
        <x:v>0</x:v>
      </x:c>
      <x:c r="M30" s="80" t="str">
        <x:v>필수</x:v>
      </x:c>
      <x:c r="N30" s="80" t="str">
        <x:v>Tool</x:v>
      </x:c>
      <x:c r="O30" s="80" t="str">
        <x:v>DC V/A/R</x:v>
      </x:c>
      <x:c r="P30" s="80" t="str">
        <x:v>전원·배선·센서 디버깅</x:v>
      </x:c>
      <x:c r="Q30" s="80" t="str">
        <x:v>Electronics/Sensors</x:v>
      </x:c>
      <x:c r="R30" s="80" t="str">
        <x:v>벤더선정필요</x:v>
      </x:c>
      <x:c r="S30" s="80" t="str"/>
      <x:c r="T30" s="82" t="str">
        <x:v>공용 2대</x:v>
      </x:c>
    </x:row>
    <x:row r="31">
      <x:c r="A31" s="79" t="str">
        <x:v>HW-023</x:v>
      </x:c>
      <x:c r="B31" s="80" t="str">
        <x:v>P1 Lab</x:v>
      </x:c>
      <x:c r="C31" s="80" t="str">
        <x:v>Tool</x:v>
      </x:c>
      <x:c r="D31" s="80" t="str">
        <x:v>Soldering station</x:v>
      </x:c>
      <x:c r="E31" s="80" t="str">
        <x:v>Vendor TBD</x:v>
      </x:c>
      <x:c r="F31" s="80" t="str">
        <x:v>Temperature controlled</x:v>
      </x:c>
      <x:c r="G31" s="80" t="n">
        <x:v>0</x:v>
      </x:c>
      <x:c r="H31" s="80" t="n">
        <x:v>3</x:v>
      </x:c>
      <x:c r="I31" s="80" t="n">
        <x:v>1</x:v>
      </x:c>
      <x:c r="J31" s="80" t="n">
        <x:f>G31*H31+I31</x:f>
        <x:v>1</x:v>
      </x:c>
      <x:c r="K31" s="81"/>
      <x:c r="L31" s="81" t="n">
        <x:f>J31*K31</x:f>
        <x:v>0</x:v>
      </x:c>
      <x:c r="M31" s="80" t="str">
        <x:v>권장</x:v>
      </x:c>
      <x:c r="N31" s="80" t="str">
        <x:v>Tool</x:v>
      </x:c>
      <x:c r="O31" s="80" t="str">
        <x:v>temperature controlled</x:v>
      </x:c>
      <x:c r="P31" s="80" t="str">
        <x:v>하네스/보드 작업</x:v>
      </x:c>
      <x:c r="Q31" s="80" t="str">
        <x:v>Electronics/Sensors</x:v>
      </x:c>
      <x:c r="R31" s="80" t="str">
        <x:v>벤더선정필요</x:v>
      </x:c>
      <x:c r="S31" s="80" t="str"/>
      <x:c r="T31" s="82" t="str">
        <x:v>공용 1대</x:v>
      </x:c>
    </x:row>
    <x:row r="32">
      <x:c r="A32" s="79" t="str">
        <x:v>HW-024</x:v>
      </x:c>
      <x:c r="B32" s="80" t="str">
        <x:v>P1 Lab</x:v>
      </x:c>
      <x:c r="C32" s="80" t="str">
        <x:v>Tool</x:v>
      </x:c>
      <x:c r="D32" s="80" t="str">
        <x:v>Crimp tool + connector kit</x:v>
      </x:c>
      <x:c r="E32" s="80" t="str">
        <x:v>Vendor TBD</x:v>
      </x:c>
      <x:c r="F32" s="80" t="str">
        <x:v>JST-PH/XH + Dupont kit</x:v>
      </x:c>
      <x:c r="G32" s="80" t="n">
        <x:v>0</x:v>
      </x:c>
      <x:c r="H32" s="80" t="n">
        <x:v>3</x:v>
      </x:c>
      <x:c r="I32" s="80" t="n">
        <x:v>2</x:v>
      </x:c>
      <x:c r="J32" s="80" t="n">
        <x:f>G32*H32+I32</x:f>
        <x:v>2</x:v>
      </x:c>
      <x:c r="K32" s="81"/>
      <x:c r="L32" s="81" t="n">
        <x:f>J32*K32</x:f>
        <x:v>0</x:v>
      </x:c>
      <x:c r="M32" s="80" t="str">
        <x:v>권장</x:v>
      </x:c>
      <x:c r="N32" s="80" t="str">
        <x:v>Tool</x:v>
      </x:c>
      <x:c r="O32" s="80" t="str">
        <x:v>PH/XH/Dupont dies</x:v>
      </x:c>
      <x:c r="P32" s="80" t="str">
        <x:v>반복 가능한 케이블 제작</x:v>
      </x:c>
      <x:c r="Q32" s="80" t="str">
        <x:v>Electronics/Sensors</x:v>
      </x:c>
      <x:c r="R32" s="80" t="str">
        <x:v>벤더선정필요</x:v>
      </x:c>
      <x:c r="S32" s="80" t="str"/>
      <x:c r="T32" s="82" t="str">
        <x:v>JST PUD 2.0mm와 Dupont 2.54mm를 동일 규격으로 취급 금지</x:v>
      </x:c>
    </x:row>
    <x:row r="33">
      <x:c r="A33" s="79" t="str">
        <x:v>HW-025</x:v>
      </x:c>
      <x:c r="B33" s="80" t="str">
        <x:v>P1 Lab</x:v>
      </x:c>
      <x:c r="C33" s="80" t="str">
        <x:v>ESD</x:v>
      </x:c>
      <x:c r="D33" s="80" t="str">
        <x:v>ESD mat + wrist strap</x:v>
      </x:c>
      <x:c r="E33" s="80" t="str">
        <x:v>Vendor TBD</x:v>
      </x:c>
      <x:c r="F33" s="80" t="str">
        <x:v>ESD set</x:v>
      </x:c>
      <x:c r="G33" s="80" t="n">
        <x:v>0</x:v>
      </x:c>
      <x:c r="H33" s="80" t="n">
        <x:v>3</x:v>
      </x:c>
      <x:c r="I33" s="80" t="n">
        <x:v>3</x:v>
      </x:c>
      <x:c r="J33" s="80" t="n">
        <x:f>G33*H33+I33</x:f>
        <x:v>3</x:v>
      </x:c>
      <x:c r="K33" s="81"/>
      <x:c r="L33" s="81" t="n">
        <x:f>J33*K33</x:f>
        <x:v>0</x:v>
      </x:c>
      <x:c r="M33" s="80" t="str">
        <x:v>권장</x:v>
      </x:c>
      <x:c r="N33" s="80" t="str">
        <x:v>Tool</x:v>
      </x:c>
      <x:c r="O33" s="80" t="str">
        <x:v>ESD protection</x:v>
      </x:c>
      <x:c r="P33" s="80" t="str">
        <x:v>Pi/camera/sensor 취급</x:v>
      </x:c>
      <x:c r="Q33" s="80" t="str">
        <x:v>Electronics/Sensors</x:v>
      </x:c>
      <x:c r="R33" s="80" t="str">
        <x:v>벤더선정필요</x:v>
      </x:c>
      <x:c r="S33" s="80" t="str"/>
      <x:c r="T33" s="82" t="str">
        <x:v>제작·정비 벤치 3곳 기준</x:v>
      </x:c>
    </x:row>
    <x:row r="34">
      <x:c r="A34" s="79" t="str">
        <x:v>HW-026</x:v>
      </x:c>
      <x:c r="B34" s="80" t="str">
        <x:v>P1 Data</x:v>
      </x:c>
      <x:c r="C34" s="80" t="str">
        <x:v>Backup</x:v>
      </x:c>
      <x:c r="D34" s="80" t="str">
        <x:v>1TB USB 3 SSD</x:v>
      </x:c>
      <x:c r="E34" s="80" t="str">
        <x:v>Vendor TBD</x:v>
      </x:c>
      <x:c r="F34" s="80" t="str">
        <x:v>1TB SSD</x:v>
      </x:c>
      <x:c r="G34" s="80" t="n">
        <x:v>0</x:v>
      </x:c>
      <x:c r="H34" s="80" t="n">
        <x:v>3</x:v>
      </x:c>
      <x:c r="I34" s="80" t="n">
        <x:v>1</x:v>
      </x:c>
      <x:c r="J34" s="80" t="n">
        <x:f>G34*H34+I34</x:f>
        <x:v>1</x:v>
      </x:c>
      <x:c r="K34" s="81"/>
      <x:c r="L34" s="81" t="n">
        <x:f>J34*K34</x:f>
        <x:v>0</x:v>
      </x:c>
      <x:c r="M34" s="80" t="str">
        <x:v>권장</x:v>
      </x:c>
      <x:c r="N34" s="80" t="str">
        <x:v>USB 3</x:v>
      </x:c>
      <x:c r="O34" s="80" t="str">
        <x:v>1TB</x:v>
      </x:c>
      <x:c r="P34" s="80" t="str">
        <x:v>raw image 중앙 백업/반출</x:v>
      </x:c>
      <x:c r="Q34" s="80" t="str">
        <x:v>Vision/Data</x:v>
      </x:c>
      <x:c r="R34" s="80" t="str">
        <x:v>벤더선정필요</x:v>
      </x:c>
      <x:c r="S34" s="80" t="str"/>
      <x:c r="T34" s="82" t="str">
        <x:v>raw dataset은 Git repo와 분리 보관</x:v>
      </x:c>
    </x:row>
    <x:row r="35">
      <x:c r="A35" s="79" t="str">
        <x:v>HW-027</x:v>
      </x:c>
      <x:c r="B35" s="80" t="str">
        <x:v>P1 Optional</x:v>
      </x:c>
      <x:c r="C35" s="80" t="str">
        <x:v>RTC</x:v>
      </x:c>
      <x:c r="D35" s="80" t="str">
        <x:v>Raspberry Pi RTC Battery</x:v>
      </x:c>
      <x:c r="E35" s="80" t="str">
        <x:v>Raspberry Pi</x:v>
      </x:c>
      <x:c r="F35" s="80" t="str">
        <x:v>RTC Battery</x:v>
      </x:c>
      <x:c r="G35" s="80" t="n">
        <x:v>1</x:v>
      </x:c>
      <x:c r="H35" s="80" t="n">
        <x:v>3</x:v>
      </x:c>
      <x:c r="I35" s="80" t="n">
        <x:v>0</x:v>
      </x:c>
      <x:c r="J35" s="80" t="n">
        <x:f>G35*H35+I35</x:f>
        <x:v>3</x:v>
      </x:c>
      <x:c r="K35" s="81"/>
      <x:c r="L35" s="81" t="n">
        <x:f>J35*K35</x:f>
        <x:v>0</x:v>
      </x:c>
      <x:c r="M35" s="80" t="str">
        <x:v>선택</x:v>
      </x:c>
      <x:c r="N35" s="80" t="str">
        <x:v>RTC battery connector</x:v>
      </x:c>
      <x:c r="O35" s="80" t="str">
        <x:v>offline clock backup</x:v>
      </x:c>
      <x:c r="P35" s="80" t="str">
        <x:v>네트워크 단절 시 timestamp 유지</x:v>
      </x:c>
      <x:c r="Q35" s="80" t="str">
        <x:v>Edge/Embedded</x:v>
      </x:c>
      <x:c r="R35" s="80" t="str">
        <x:v>선택</x:v>
      </x:c>
      <x:c r="S35" s="80" t="str"/>
      <x:c r="T35" s="82" t="str">
        <x:v>NTP 항상 보장되면 생략</x:v>
      </x:c>
    </x:row>
    <x:row r="36">
      <x:c r="A36" s="79" t="str">
        <x:v>HW-028</x:v>
      </x:c>
      <x:c r="B36" s="80" t="str">
        <x:v>P2 Reference</x:v>
      </x:c>
      <x:c r="C36" s="80" t="str">
        <x:v>Reference Sensor</x:v>
      </x:c>
      <x:c r="D36" s="80" t="str">
        <x:v>High-accuracy RH/T reference</x:v>
      </x:c>
      <x:c r="E36" s="80" t="str">
        <x:v>Sensirion</x:v>
      </x:c>
      <x:c r="F36" s="80" t="str">
        <x:v>SHT45 / evaluation breakout</x:v>
      </x:c>
      <x:c r="G36" s="80" t="n">
        <x:v>0</x:v>
      </x:c>
      <x:c r="H36" s="80" t="n">
        <x:v>3</x:v>
      </x:c>
      <x:c r="I36" s="80" t="n">
        <x:v>1</x:v>
      </x:c>
      <x:c r="J36" s="80" t="n">
        <x:f>G36*H36+I36</x:f>
        <x:v>1</x:v>
      </x:c>
      <x:c r="K36" s="81"/>
      <x:c r="L36" s="81" t="n">
        <x:f>J36*K36</x:f>
        <x:v>0</x:v>
      </x:c>
      <x:c r="M36" s="80" t="str">
        <x:v>선택</x:v>
      </x:c>
      <x:c r="N36" s="80" t="str">
        <x:v>I2C</x:v>
      </x:c>
      <x:c r="O36" s="80" t="str">
        <x:v>typ. ±1%RH / ±0.1°C</x:v>
      </x:c>
      <x:c r="P36" s="80" t="str">
        <x:v>BME280 station 간 편차 점검</x:v>
      </x:c>
      <x:c r="Q36" s="80" t="str">
        <x:v>Horticulture/Experiment/Data QA</x:v>
      </x:c>
      <x:c r="R36" s="80" t="str">
        <x:v>후속검토</x:v>
      </x:c>
      <x:c r="S36" s="80" t="str">
        <x:v>https://sensirion.com/products/catalog/SHT45</x:v>
      </x:c>
      <x:c r="T36" s="82" t="str">
        <x:v>bare IC보다 평가보드/검증된 breakout 선택</x:v>
      </x:c>
    </x:row>
    <x:row r="37">
      <x:c r="A37" s="79" t="str">
        <x:v>HW-029</x:v>
      </x:c>
      <x:c r="B37" s="80" t="str">
        <x:v>P2 Soil</x:v>
      </x:c>
      <x:c r="C37" s="80" t="str">
        <x:v>Soil</x:v>
      </x:c>
      <x:c r="D37" s="80" t="str">
        <x:v>Soil EC / VWC reference sensor</x:v>
      </x:c>
      <x:c r="E37" s="80" t="str">
        <x:v>Vendor TBD</x:v>
      </x:c>
      <x:c r="F37" s="80" t="str">
        <x:v>Research-grade, calibrated</x:v>
      </x:c>
      <x:c r="G37" s="80" t="n">
        <x:v>0</x:v>
      </x:c>
      <x:c r="H37" s="80" t="n">
        <x:v>3</x:v>
      </x:c>
      <x:c r="I37" s="80" t="n">
        <x:v>1</x:v>
      </x:c>
      <x:c r="J37" s="80" t="n">
        <x:f>G37*H37+I37</x:f>
        <x:v>1</x:v>
      </x:c>
      <x:c r="K37" s="81"/>
      <x:c r="L37" s="81" t="n">
        <x:f>J37*K37</x:f>
        <x:v>0</x:v>
      </x:c>
      <x:c r="M37" s="80" t="str">
        <x:v>보류</x:v>
      </x:c>
      <x:c r="N37" s="80" t="str">
        <x:v>RS485 / SDI-12 preferred</x:v>
      </x:c>
      <x:c r="O37" s="80" t="str">
        <x:v>calibrated</x:v>
      </x:c>
      <x:c r="P37" s="80" t="str">
        <x:v>저가 capacitive sensor 보정</x:v>
      </x:c>
      <x:c r="Q37" s="80" t="str">
        <x:v>Horticulture/Experiment/Data QA</x:v>
      </x:c>
      <x:c r="R37" s="80" t="str">
        <x:v>보류</x:v>
      </x:c>
      <x:c r="S37" s="80"/>
      <x:c r="T37" s="82" t="str">
        <x:v>교수와 배지/작물/측정목표 확정 후 선정</x:v>
      </x:c>
    </x:row>
    <x:row r="38">
      <x:c r="A38" s="83" t="str">
        <x:v>HW-030</x:v>
      </x:c>
      <x:c r="B38" s="84" t="str">
        <x:v>P2 Control</x:v>
      </x:c>
      <x:c r="C38" s="84" t="str">
        <x:v>Actuation</x:v>
      </x:c>
      <x:c r="D38" s="84" t="str">
        <x:v>Pump / relay / solenoid / dosing</x:v>
      </x:c>
      <x:c r="E38" s="84" t="str">
        <x:v>TBD</x:v>
      </x:c>
      <x:c r="F38" s="84" t="str">
        <x:v>Deferred</x:v>
      </x:c>
      <x:c r="G38" s="84" t="n">
        <x:v>0</x:v>
      </x:c>
      <x:c r="H38" s="84" t="n">
        <x:v>3</x:v>
      </x:c>
      <x:c r="I38" s="84" t="n">
        <x:v>0</x:v>
      </x:c>
      <x:c r="J38" s="84" t="n">
        <x:f>G38*H38+I38</x:f>
        <x:v>0</x:v>
      </x:c>
      <x:c r="K38" s="85"/>
      <x:c r="L38" s="85" t="n">
        <x:f>J38*K38</x:f>
        <x:v>0</x:v>
      </x:c>
      <x:c r="M38" s="84" t="str">
        <x:v>보류</x:v>
      </x:c>
      <x:c r="N38" s="84" t="str">
        <x:v>TBD</x:v>
      </x:c>
      <x:c r="O38" s="84" t="str">
        <x:v>TBD</x:v>
      </x:c>
      <x:c r="P38" s="84" t="str">
        <x:v>자동 관수·시비</x:v>
      </x:c>
      <x:c r="Q38" s="84" t="str">
        <x:v>Electronics/Sensors</x:v>
      </x:c>
      <x:c r="R38" s="84" t="str">
        <x:v>구매금지</x:v>
      </x:c>
      <x:c r="S38" s="84" t="str"/>
      <x:c r="T38" s="86" t="str">
        <x:v>Phase 1에서 구매하지 않음</x:v>
      </x:c>
    </x:row>
  </x:sheetData>
  <x:mergeCells>
    <x:mergeCell ref="A1:T1"/>
    <x:mergeCell ref="A2:T2"/>
  </x:mergeCells>
  <x:dataValidations count="3">
    <x:dataValidation type="list" sqref="B9:B38">
      <x:formula1>"P1 Core,P1 Vision,P1 Sensor,P1 Optics,P1 Mechanical,P1 Wiring,P1 Network,P1 Lab,P1 Data,P1 Optional,P2 Reference,P2 Soil,P2 Control"</x:formula1>
    </x:dataValidation>
    <x:dataValidation type="list" sqref="M9:M38">
      <x:formula1>"필수,권장,선택,후속,보류"</x:formula1>
    </x:dataValidation>
    <x:dataValidation type="list" sqref="R9:R38">
      <x:formula1>"조사완료,후보확정,구매대기,벤더선정필요,치수미정,설계필요,선택,후속검토,보류,구매금지,구매완료"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47931e1de748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50" hidden="0" customWidth="1"/>
    <x:col min="4" max="4" width="48" hidden="0" customWidth="1"/>
    <x:col min="5" max="5" width="24" hidden="0" customWidth="1"/>
    <x:col min="6" max="6" width="18" hidden="0" customWidth="1"/>
    <x:col min="7" max="7" width="44" hidden="0" customWidth="1"/>
    <x:col min="8" max="8" width="28" hidden="0" customWidth="1"/>
    <x:col min="9" max="9" width="14" hidden="0" customWidth="1"/>
  </x:cols>
  <x:sheetData>
    <x:row r="1">
      <x:c r="A1" s="5" t="str">
        <x:v>Correct Datasheet / Official Source Manifest — 2026-08-17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원칙: 제조사/공식 모듈 벤더 문서 우선. 칩 데이터시트와 breakout/module 보드 사양은 구분해서 보관.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44" t="str">
        <x:v>Item</x:v>
      </x:c>
      <x:c r="B4" s="45" t="str">
        <x:v>Selected Model</x:v>
      </x:c>
      <x:c r="C4" s="45" t="str">
        <x:v>Official PDF / Spec</x:v>
      </x:c>
      <x:c r="D4" s="45" t="str">
        <x:v>Official Module/Product Page</x:v>
      </x:c>
      <x:c r="E4" s="45" t="str">
        <x:v>Document Type</x:v>
      </x:c>
      <x:c r="F4" s="45" t="str">
        <x:v>Old File Action</x:v>
      </x:c>
      <x:c r="G4" s="45" t="str">
        <x:v>Key Procurement Check</x:v>
      </x:c>
      <x:c r="H4" s="45" t="str">
        <x:v>Owner</x:v>
      </x:c>
      <x:c r="I4" s="46" t="str">
        <x:v>Status</x:v>
      </x:c>
    </x:row>
    <x:row r="5">
      <x:c r="A5" s="79" t="str">
        <x:v>Raspberry Pi 5 4GB</x:v>
      </x:c>
      <x:c r="B5" s="80" t="str">
        <x:v>Raspberry Pi 5 4GB</x:v>
      </x:c>
      <x:c r="C5" s="80" t="str">
        <x:v>https://pip-assets.raspberrypi.com/categories/892-raspberry-pi-5/documents/RP-008348-DS-6-raspberry-pi-5-product-brief.pdf</x:v>
      </x:c>
      <x:c r="D5" s="80" t="str">
        <x:v>https://www.raspberrypi.com/products/raspberry-pi-5/</x:v>
      </x:c>
      <x:c r="E5" s="80" t="str">
        <x:v>Official product brief</x:v>
      </x:c>
      <x:c r="F5" s="80" t="str">
        <x:v>교체</x:v>
      </x:c>
      <x:c r="G5" s="80" t="str">
        <x:v>4GB variant / 5V5A / Pi5 board dimensions</x:v>
      </x:c>
      <x:c r="H5" s="80" t="str">
        <x:v>Edge/Embedded</x:v>
      </x:c>
      <x:c r="I5" s="82" t="str">
        <x:v>정상</x:v>
      </x:c>
    </x:row>
    <x:row r="6">
      <x:c r="A6" s="79" t="str">
        <x:v>27W USB-C PSU</x:v>
      </x:c>
      <x:c r="B6" s="80" t="str">
        <x:v>Raspberry Pi 27W PSU</x:v>
      </x:c>
      <x:c r="C6" s="80" t="str">
        <x:v>https://pip-assets.raspberrypi.com/categories/898-raspberry-pi-27w-usb-c-power-supply/documents/RP-008245-DS-1-27w-usb-c-power-supply-product-brief.pdf</x:v>
      </x:c>
      <x:c r="D6" s="80" t="str">
        <x:v>https://www.raspberrypi.com/products/27w-power-supply/</x:v>
      </x:c>
      <x:c r="E6" s="80" t="str">
        <x:v>Official product brief</x:v>
      </x:c>
      <x:c r="F6" s="80" t="str">
        <x:v>유지</x:v>
      </x:c>
      <x:c r="G6" s="80" t="str">
        <x:v>5.1V 5A; 국내 플러그/인증</x:v>
      </x:c>
      <x:c r="H6" s="80" t="str">
        <x:v>Edge/Embedded</x:v>
      </x:c>
      <x:c r="I6" s="82" t="str">
        <x:v>정상</x:v>
      </x:c>
    </x:row>
    <x:row r="7">
      <x:c r="A7" s="79" t="str">
        <x:v>Active Cooler</x:v>
      </x:c>
      <x:c r="B7" s="80" t="str">
        <x:v>Raspberry Pi Active Cooler</x:v>
      </x:c>
      <x:c r="C7" s="80" t="str">
        <x:v>https://pip-assets.raspberrypi.com/categories/993-raspberry-pi-active-cooler/documents/RP-008188-DS-2-raspberry-pi-active-cooler-product-brief.pdf</x:v>
      </x:c>
      <x:c r="D7" s="80" t="str">
        <x:v>https://www.raspberrypi.com/products/active-cooler/</x:v>
      </x:c>
      <x:c r="E7" s="80" t="str">
        <x:v>Official product brief</x:v>
      </x:c>
      <x:c r="F7" s="80" t="str">
        <x:v>교체</x:v>
      </x:c>
      <x:c r="G7" s="80" t="str">
        <x:v>Pi 5 전용 모델인지 확인</x:v>
      </x:c>
      <x:c r="H7" s="80" t="str">
        <x:v>Edge/Embedded</x:v>
      </x:c>
      <x:c r="I7" s="82" t="str">
        <x:v>정상</x:v>
      </x:c>
    </x:row>
    <x:row r="8">
      <x:c r="A8" s="79" t="str">
        <x:v>Camera Module 3 Standard</x:v>
      </x:c>
      <x:c r="B8" s="80" t="str">
        <x:v>Camera Module 3 Standard</x:v>
      </x:c>
      <x:c r="C8" s="80" t="str">
        <x:v>https://pip-assets.raspberrypi.com/categories/786-raspberry-pi-camera-module-3/documents/RP-008151-DS-1-camera-module-3-product-brief.pdf</x:v>
      </x:c>
      <x:c r="D8" s="80" t="str">
        <x:v>https://www.raspberrypi.com/products/camera-module-3/</x:v>
      </x:c>
      <x:c r="E8" s="80" t="str">
        <x:v>Official product brief</x:v>
      </x:c>
      <x:c r="F8" s="80" t="str">
        <x:v>유지</x:v>
      </x:c>
      <x:c r="G8" s="80" t="str">
        <x:v>Standard / IR-cut / autofocus</x:v>
      </x:c>
      <x:c r="H8" s="80" t="str">
        <x:v>Vision/Data</x:v>
      </x:c>
      <x:c r="I8" s="82" t="str">
        <x:v>정상</x:v>
      </x:c>
    </x:row>
    <x:row r="9">
      <x:c r="A9" s="79" t="str">
        <x:v>Camera cable 500mm</x:v>
      </x:c>
      <x:c r="B9" s="80" t="str">
        <x:v>Standard–Mini 500mm</x:v>
      </x:c>
      <x:c r="C9" s="80" t="str"/>
      <x:c r="D9" s="80" t="str">
        <x:v>https://www.raspberrypi.com/products/camera-cable/?variant=camera-cable-std-mini-500</x:v>
      </x:c>
      <x:c r="E9" s="80" t="str">
        <x:v>Official product page</x:v>
      </x:c>
      <x:c r="F9" s="80" t="str">
        <x:v>교체</x:v>
      </x:c>
      <x:c r="G9" s="80" t="str">
        <x:v>15-pin camera ↔ 22-way Pi5; 500mm</x:v>
      </x:c>
      <x:c r="H9" s="80" t="str">
        <x:v>Mechanical/Optics</x:v>
      </x:c>
      <x:c r="I9" s="82" t="str">
        <x:v>정상</x:v>
      </x:c>
    </x:row>
    <x:row r="10">
      <x:c r="A10" s="79" t="str">
        <x:v>128GB microSD</x:v>
      </x:c>
      <x:c r="B10" s="80" t="str">
        <x:v>Raspberry Pi SD Card 128GB</x:v>
      </x:c>
      <x:c r="C10" s="80" t="str">
        <x:v>https://datasheets.raspberrypi.com/sd-card/sd-card-product-brief.pdf</x:v>
      </x:c>
      <x:c r="D10" s="80" t="str">
        <x:v>https://www.raspberrypi.com/products/sd-cards/</x:v>
      </x:c>
      <x:c r="E10" s="80" t="str">
        <x:v>Official product brief</x:v>
      </x:c>
      <x:c r="F10" s="80" t="str">
        <x:v>교체/확정</x:v>
      </x:c>
      <x:c r="G10" s="80" t="str">
        <x:v>A2 / U3 / V30 / capacity</x:v>
      </x:c>
      <x:c r="H10" s="80" t="str">
        <x:v>Edge/Embedded</x:v>
      </x:c>
      <x:c r="I10" s="82" t="str">
        <x:v>정상</x:v>
      </x:c>
    </x:row>
    <x:row r="11">
      <x:c r="A11" s="79" t="str">
        <x:v>BME280 module</x:v>
      </x:c>
      <x:c r="B11" s="80" t="str">
        <x:v>DFRobot SEN0236</x:v>
      </x:c>
      <x:c r="C11" s="80" t="str">
        <x:v>https://www.bosch-sensortec.com/media/boschsensortec/downloads/datasheets/bst-bme280-ds002.pdf</x:v>
      </x:c>
      <x:c r="D11" s="80" t="str">
        <x:v>https://wiki.dfrobot.com/sen0236/</x:v>
      </x:c>
      <x:c r="E11" s="80" t="str">
        <x:v>Chip datasheet + module wiki</x:v>
      </x:c>
      <x:c r="F11" s="80" t="str">
        <x:v>교체정리</x:v>
      </x:c>
      <x:c r="G11" s="80" t="str">
        <x:v>보드 3.3–5V; I2C; module schematic도 별도 보관</x:v>
      </x:c>
      <x:c r="H11" s="80" t="str">
        <x:v>Electronics/Sensors</x:v>
      </x:c>
      <x:c r="I11" s="82" t="str">
        <x:v>정상</x:v>
      </x:c>
    </x:row>
    <x:row r="12">
      <x:c r="A12" s="79" t="str">
        <x:v>VEML7700 light sensor</x:v>
      </x:c>
      <x:c r="B12" s="80" t="str">
        <x:v>DFRobot SEN0228</x:v>
      </x:c>
      <x:c r="C12" s="80" t="str">
        <x:v>https://www.vishay.com/docs/84286/veml7700.pdf</x:v>
      </x:c>
      <x:c r="D12" s="80" t="str">
        <x:v>https://wiki.dfrobot.com/sen0228/</x:v>
      </x:c>
      <x:c r="E12" s="80" t="str">
        <x:v>Chip datasheet + module wiki</x:v>
      </x:c>
      <x:c r="F12" s="80" t="str">
        <x:v>BH1750 대체</x:v>
      </x:c>
      <x:c r="G12" s="80" t="str">
        <x:v>보드 3.3–5V; 0–120klx; I2C</x:v>
      </x:c>
      <x:c r="H12" s="80" t="str">
        <x:v>Electronics/Sensors</x:v>
      </x:c>
      <x:c r="I12" s="82" t="str">
        <x:v>정상</x:v>
      </x:c>
    </x:row>
    <x:row r="13">
      <x:c r="A13" s="79" t="str">
        <x:v>ADS1115 ADC</x:v>
      </x:c>
      <x:c r="B13" s="80" t="str">
        <x:v>DFRobot DFR0553</x:v>
      </x:c>
      <x:c r="C13" s="80" t="str">
        <x:v>https://www.ti.com/lit/gpn/ADS1115</x:v>
      </x:c>
      <x:c r="D13" s="80" t="str">
        <x:v>https://wiki.dfrobot.com/dfr0553/</x:v>
      </x:c>
      <x:c r="E13" s="80" t="str">
        <x:v>Chip datasheet + module wiki</x:v>
      </x:c>
      <x:c r="F13" s="80" t="str">
        <x:v>추가</x:v>
      </x:c>
      <x:c r="G13" s="80" t="str">
        <x:v>16-bit; 4ch; I2C; analog input &lt; VCC+0.3V</x:v>
      </x:c>
      <x:c r="H13" s="80" t="str">
        <x:v>Electronics/Sensors</x:v>
      </x:c>
      <x:c r="I13" s="82" t="str">
        <x:v>정상</x:v>
      </x:c>
    </x:row>
    <x:row r="14">
      <x:c r="A14" s="79" t="str">
        <x:v>Capacitive soil moisture</x:v>
      </x:c>
      <x:c r="B14" s="80" t="str">
        <x:v>DFRobot SEN0193</x:v>
      </x:c>
      <x:c r="C14" s="80" t="str">
        <x:v>https://dfimg.dfrobot.com/wiki/17627/SEN0193_capacitive-soil-moisture-sensor_schematics_1.0.pdf</x:v>
      </x:c>
      <x:c r="D14" s="80" t="str">
        <x:v>https://wiki.dfrobot.com/sen0193/</x:v>
      </x:c>
      <x:c r="E14" s="80" t="str">
        <x:v>Module schematic + official wiki</x:v>
      </x:c>
      <x:c r="F14" s="80" t="str">
        <x:v>교체</x:v>
      </x:c>
      <x:c r="G14" s="80" t="str">
        <x:v>analog 0–3V; Pi needs ADC; dry/wet calibration</x:v>
      </x:c>
      <x:c r="H14" s="80" t="str">
        <x:v>Electronics/Sensors</x:v>
      </x:c>
      <x:c r="I14" s="82" t="str">
        <x:v>정상</x:v>
      </x:c>
    </x:row>
    <x:row r="15">
      <x:c r="A15" s="79" t="str">
        <x:v>High-CRI light reference</x:v>
      </x:c>
      <x:c r="B15" s="80" t="str">
        <x:v>Waveform 4026.50.2F</x:v>
      </x:c>
      <x:c r="C15" s="80" t="str">
        <x:v>https://store.waveformlighting.com/cdn/shop/files/CENTRIC_DAYLIGHT_95_CRI_T5_LED_Linear_Light_Fixture_Specification_Sheet.pdf?v=8230845690346122601</x:v>
      </x:c>
      <x:c r="D15" s="80" t="str">
        <x:v>https://store.waveformlighting.com/products/centric-daylight-95-cri-t5-led-linear-light-fixture</x:v>
      </x:c>
      <x:c r="E15" s="80" t="str">
        <x:v>Manufacturer spec sheet</x:v>
      </x:c>
      <x:c r="F15" s="80" t="str">
        <x:v>교체</x:v>
      </x:c>
      <x:c r="G15" s="80" t="str">
        <x:v>5000K; CRI95+; flicker-free; 한국 구매는 KC 동급품 우선</x:v>
      </x:c>
      <x:c r="H15" s="80" t="str">
        <x:v>Mechanical/Optics</x:v>
      </x:c>
      <x:c r="I15" s="82" t="str">
        <x:v>reference</x:v>
      </x:c>
    </x:row>
    <x:row r="16">
      <x:c r="A16" s="79" t="str">
        <x:v>Color reference</x:v>
      </x:c>
      <x:c r="B16" s="80" t="str">
        <x:v>Calibrite CCC-MINI</x:v>
      </x:c>
      <x:c r="C16" s="80" t="str"/>
      <x:c r="D16" s="80" t="str">
        <x:v>https://calibrite.com/ko/product/colorchecker-classic-mini/?noredirect=ko-KR</x:v>
      </x:c>
      <x:c r="E16" s="80" t="str">
        <x:v>Manufacturer product spec</x:v>
      </x:c>
      <x:c r="F16" s="80" t="str">
        <x:v>추가</x:v>
      </x:c>
      <x:c r="G16" s="80" t="str">
        <x:v>24 patches; 63.5×109mm</x:v>
      </x:c>
      <x:c r="H16" s="80" t="str">
        <x:v>Vision/Data</x:v>
      </x:c>
      <x:c r="I16" s="82" t="str">
        <x:v>정상</x:v>
      </x:c>
    </x:row>
    <x:row r="17">
      <x:c r="A17" s="79" t="str">
        <x:v>High-accuracy RH/T reference</x:v>
      </x:c>
      <x:c r="B17" s="80" t="str">
        <x:v>Sensirion SHT45</x:v>
      </x:c>
      <x:c r="C17" s="80" t="str">
        <x:v>https://sensirion.com/media/documents/33FD6951/67EB9032/HT_DS_Datasheet_SHT4x_5.pdf</x:v>
      </x:c>
      <x:c r="D17" s="80" t="str">
        <x:v>https://sensirion.com/products/catalog/SHT45</x:v>
      </x:c>
      <x:c r="E17" s="80" t="str">
        <x:v>Official datasheet</x:v>
      </x:c>
      <x:c r="F17" s="80" t="str">
        <x:v>추가(P2)</x:v>
      </x:c>
      <x:c r="G17" s="80" t="str">
        <x:v>±1%RH / ±0.1°C; bare IC보다 eval/breakout 권장</x:v>
      </x:c>
      <x:c r="H17" s="80" t="str">
        <x:v>Horticulture/Experiment/Data QA</x:v>
      </x:c>
      <x:c r="I17" s="82" t="str">
        <x:v>optional</x:v>
      </x:c>
    </x:row>
    <x:row r="18">
      <x:c r="A18" s="79" t="str">
        <x:v>Diffuser</x:v>
      </x:c>
      <x:c r="B18" s="80" t="str">
        <x:v>Opal PMMA/PC TBD</x:v>
      </x:c>
      <x:c r="C18" s="80" t="str"/>
      <x:c r="D18" s="80" t="str"/>
      <x:c r="E18" s="80" t="str">
        <x:v>Vendor datasheet required after selection</x:v>
      </x:c>
      <x:c r="F18" s="80" t="str">
        <x:v>교체</x:v>
      </x:c>
      <x:c r="G18" s="80" t="str">
        <x:v>transmittance + haze + thickness</x:v>
      </x:c>
      <x:c r="H18" s="80" t="str">
        <x:v>Mechanical/Optics</x:v>
      </x:c>
      <x:c r="I18" s="82" t="str">
        <x:v>TBD</x:v>
      </x:c>
    </x:row>
    <x:row r="19">
      <x:c r="A19" s="83" t="str">
        <x:v>Camera rig/stand</x:v>
      </x:c>
      <x:c r="B19" s="84" t="str">
        <x:v>Custom 2020 extrusion</x:v>
      </x:c>
      <x:c r="C19" s="84" t="str"/>
      <x:c r="D19" s="84" t="str"/>
      <x:c r="E19" s="84" t="str">
        <x:v>Mechanical drawing / vendor datasheet</x:v>
      </x:c>
      <x:c r="F19" s="84" t="str">
        <x:v>교체</x:v>
      </x:c>
      <x:c r="G19" s="84" t="str">
        <x:v>height repeatability, rigidity, tray clearance</x:v>
      </x:c>
      <x:c r="H19" s="84" t="str">
        <x:v>Mechanical/Optics</x:v>
      </x:c>
      <x:c r="I19" s="86" t="str">
        <x:v>TBD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8353bc8ecc64f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4" hidden="0" customWidth="1"/>
    <x:col min="4" max="4" width="32" hidden="0" customWidth="1"/>
    <x:col min="5" max="5" width="38" hidden="0" customWidth="1"/>
    <x:col min="6" max="6" width="40" hidden="0" customWidth="1"/>
    <x:col min="7" max="7" width="28" hidden="0" customWidth="1"/>
  </x:cols>
  <x:sheetData>
    <x:row r="1">
      <x:c r="A1" s="5" t="str">
        <x:v>NEXUS 50명 기준 권장 분업 — 사람 수보다 인터페이스와 산출물 책임을 고정</x:v>
      </x:c>
      <x:c r="B1" s="5"/>
      <x:c r="C1" s="5"/>
      <x:c r="D1" s="5"/>
      <x:c r="E1" s="5"/>
      <x:c r="F1" s="5"/>
      <x:c r="G1" s="5"/>
    </x:row>
    <x:row r="3">
      <x:c r="A3" s="44" t="str">
        <x:v>Subteam</x:v>
      </x:c>
      <x:c r="B3" s="45" t="str">
        <x:v>People</x:v>
      </x:c>
      <x:c r="C3" s="45" t="str">
        <x:v>Primary Responsibility</x:v>
      </x:c>
      <x:c r="D3" s="45" t="str">
        <x:v>Hardware / Code Boundary</x:v>
      </x:c>
      <x:c r="E3" s="45" t="str">
        <x:v>Deliverables</x:v>
      </x:c>
      <x:c r="F3" s="45" t="str">
        <x:v>Acceptance Criteria</x:v>
      </x:c>
      <x:c r="G3" s="46" t="str">
        <x:v>Cross-team Interface</x:v>
      </x:c>
    </x:row>
    <x:row r="4">
      <x:c r="A4" s="79" t="str">
        <x:v>Vision / Data</x:v>
      </x:c>
      <x:c r="B4" s="80" t="n">
        <x:v>8</x:v>
      </x:c>
      <x:c r="C4" s="80" t="str">
        <x:v>촬영 프로토콜, OpenCV baseline, annotation, YOLO-Seg gate</x:v>
      </x:c>
      <x:c r="D4" s="80" t="str">
        <x:v>Camera output 이후 / image pipeline</x:v>
      </x:c>
      <x:c r="E4" s="80" t="str">
        <x:v>calibration target, mask dataset, error report</x:v>
      </x:c>
      <x:c r="F4" s="80" t="str">
        <x:v>manual mask 대비 leaf-area error 보고; 동일 seedling train/test 누수 금지</x:v>
      </x:c>
      <x:c r="G4" s="82" t="str">
        <x:v>Mechanical/Optics, Horticulture</x:v>
      </x:c>
    </x:row>
    <x:row r="5">
      <x:c r="A5" s="79" t="str">
        <x:v>Edge / Embedded</x:v>
      </x:c>
      <x:c r="B5" s="80" t="n">
        <x:v>7</x:v>
      </x:c>
      <x:c r="C5" s="80" t="str">
        <x:v>Pi 5 이미지 캡처, timestamp, local buffering, API 업로드</x:v>
      </x:c>
      <x:c r="D5" s="80" t="str">
        <x:v>Pi OS, camera service, network, watchdog</x:v>
      </x:c>
      <x:c r="E5" s="80" t="str">
        <x:v>edge-agent, service file, offline queue, logs</x:v>
      </x:c>
      <x:c r="F5" s="80" t="str">
        <x:v>재부팅 후 자동기동; 네트워크 단절 후 재전송; timezone-aware timestamp</x:v>
      </x:c>
      <x:c r="G5" s="82" t="str">
        <x:v>Backend/Frontend, Electronics</x:v>
      </x:c>
    </x:row>
    <x:row r="6">
      <x:c r="A6" s="79" t="str">
        <x:v>Electronics / Sensors</x:v>
      </x:c>
      <x:c r="B6" s="80" t="n">
        <x:v>7</x:v>
      </x:c>
      <x:c r="C6" s="80" t="str">
        <x:v>I2C/ADC 배선, 센서 드라이버, calibration</x:v>
      </x:c>
      <x:c r="D6" s="80" t="str">
        <x:v>BME280/VEML7700/ADS1115/SEN0193</x:v>
      </x:c>
      <x:c r="E6" s="80" t="str">
        <x:v>wiring diagram, sensor test CSV, calibration record</x:v>
      </x:c>
      <x:c r="F6" s="80" t="str">
        <x:v>24h 연속 읽기; sensor ID/단위 명시; raw값 보존</x:v>
      </x:c>
      <x:c r="G6" s="82" t="str">
        <x:v>Edge/Embedded, Horticulture</x:v>
      </x:c>
    </x:row>
    <x:row r="7">
      <x:c r="A7" s="79" t="str">
        <x:v>Mechanical / Optics</x:v>
      </x:c>
      <x:c r="B7" s="80" t="n">
        <x:v>6</x:v>
      </x:c>
      <x:c r="C7" s="80" t="str">
        <x:v>rig, camera pose, light geometry, diffuser</x:v>
      </x:c>
      <x:c r="D7" s="80" t="str">
        <x:v>2020 extrusion, camera mount, LED, diffuser</x:v>
      </x:c>
      <x:c r="E7" s="80" t="str">
        <x:v>CAD/drawing, assembly manual, repeatability test</x:v>
      </x:c>
      <x:c r="F7" s="80" t="str">
        <x:v>분해/재조립 후 촬영 FOV/scale 허용오차 내 유지</x:v>
      </x:c>
      <x:c r="G7" s="82" t="str">
        <x:v>Vision/Data, Electronics</x:v>
      </x:c>
    </x:row>
    <x:row r="8">
      <x:c r="A8" s="79" t="str">
        <x:v>Backend / Frontend</x:v>
      </x:c>
      <x:c r="B8" s="80" t="n">
        <x:v>8</x:v>
      </x:c>
      <x:c r="C8" s="80" t="str">
        <x:v>FastAPI/SQLite/dashboard, experiment export</x:v>
      </x:c>
      <x:c r="D8" s="80" t="str">
        <x:v>sensor/image API 이후</x:v>
      </x:c>
      <x:c r="E8" s="80" t="str">
        <x:v>API tests, dashboard, CSV export</x:v>
      </x:c>
      <x:c r="F8" s="80" t="str">
        <x:v>API regression tests 통과; capture-sensor link audit 가능</x:v>
      </x:c>
      <x:c r="G8" s="82" t="str">
        <x:v>Edge/Embedded, Horticulture</x:v>
      </x:c>
    </x:row>
    <x:row r="9">
      <x:c r="A9" s="79" t="str">
        <x:v>Horticulture / Experiment / QA</x:v>
      </x:c>
      <x:c r="B9" s="80" t="n">
        <x:v>8</x:v>
      </x:c>
      <x:c r="C9" s="80" t="str">
        <x:v>작물·트레이·처리군 설계, 전문가 검수, ground truth</x:v>
      </x:c>
      <x:c r="D9" s="80" t="str">
        <x:v>생물학적 판단 / experiment protocol</x:v>
      </x:c>
      <x:c r="E9" s="80" t="str">
        <x:v>crop/tray spec, label guide, expert review, experiment log</x:v>
      </x:c>
      <x:c r="F9" s="80" t="str">
        <x:v>최소 control/treatment 설계; observable evidence와 cause 분리</x:v>
      </x:c>
      <x:c r="G9" s="82" t="str">
        <x:v>Vision/Data, PM</x:v>
      </x:c>
    </x:row>
    <x:row r="10">
      <x:c r="A10" s="83" t="str">
        <x:v>PM / Docs / Procurement</x:v>
      </x:c>
      <x:c r="B10" s="84" t="n">
        <x:v>6</x:v>
      </x:c>
      <x:c r="C10" s="84" t="str">
        <x:v>BOM, 예산, 재고, 일정, GitHub issue/PR, 문서 표준</x:v>
      </x:c>
      <x:c r="D10" s="84" t="str">
        <x:v>전 팀 인터페이스</x:v>
      </x:c>
      <x:c r="E10" s="84" t="str">
        <x:v>purchase log, datasheet registry, risk register, weekly integration report</x:v>
      </x:c>
      <x:c r="F10" s="84" t="str">
        <x:v>구매 모델↔datasheet 1:1 매칭; owner/acceptance 없는 작업 금지</x:v>
      </x:c>
      <x:c r="G10" s="86" t="str">
        <x:v>All teams</x:v>
      </x:c>
    </x:row>
    <x:row r="12">
      <x:c r="A12" s="26" t="str">
        <x:v>총 인원</x:v>
      </x:c>
      <x:c r="B12" s="27" t="n">
        <x:f>SUM(B4:B10)</x:f>
        <x:v>50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0" hidden="0" customWidth="1"/>
    <x:col min="4" max="4" width="28" hidden="0" customWidth="1"/>
    <x:col min="5" max="5" width="38" hidden="0" customWidth="1"/>
    <x:col min="6" max="6" width="48" hidden="0" customWidth="1"/>
    <x:col min="7" max="7" width="34" hidden="0" customWidth="1"/>
    <x:col min="8" max="8" width="30" hidden="0" customWidth="1"/>
  </x:cols>
  <x:sheetData>
    <x:row r="1">
      <x:c r="A1" s="5" t="str">
        <x:v>Smart Seedling AI — Build Order &amp; Acceptance Gates</x:v>
      </x:c>
      <x:c r="B1" s="5"/>
      <x:c r="C1" s="5"/>
      <x:c r="D1" s="5"/>
      <x:c r="E1" s="5"/>
      <x:c r="F1" s="5"/>
      <x:c r="G1" s="5"/>
      <x:c r="H1" s="5"/>
    </x:row>
    <x:row r="3">
      <x:c r="A3" s="44" t="str">
        <x:v>Gate</x:v>
      </x:c>
      <x:c r="B3" s="45" t="str">
        <x:v>Stage</x:v>
      </x:c>
      <x:c r="C3" s="45" t="str">
        <x:v>Owner</x:v>
      </x:c>
      <x:c r="D3" s="45" t="str">
        <x:v>Input</x:v>
      </x:c>
      <x:c r="E3" s="45" t="str">
        <x:v>Required Output</x:v>
      </x:c>
      <x:c r="F3" s="45" t="str">
        <x:v>Pass Criteria</x:v>
      </x:c>
      <x:c r="G3" s="45" t="str">
        <x:v>Blocker if Fail</x:v>
      </x:c>
      <x:c r="H3" s="46" t="str">
        <x:v>GitHub Artifact</x:v>
      </x:c>
    </x:row>
    <x:row r="4">
      <x:c r="A4" s="79" t="str">
        <x:v>G0</x:v>
      </x:c>
      <x:c r="B4" s="80" t="str">
        <x:v>Crop / Tray freeze</x:v>
      </x:c>
      <x:c r="C4" s="80" t="str">
        <x:v>Horticulture / Experiment</x:v>
      </x:c>
      <x:c r="D4" s="80" t="str">
        <x:v>교수 자문</x:v>
      </x:c>
      <x:c r="E4" s="80" t="str">
        <x:v>crop, tray rows/cols, physical tray size</x:v>
      </x:c>
      <x:c r="F4" s="80" t="str">
        <x:v>작물 1종 + tray 1종 + 촬영 기간 승인</x:v>
      </x:c>
      <x:c r="G4" s="80" t="str">
        <x:v>rig 치수/segmentation 모두 불확실</x:v>
      </x:c>
      <x:c r="H4" s="82" t="str">
        <x:v>docs/experiment_protocol.md</x:v>
      </x:c>
    </x:row>
    <x:row r="5">
      <x:c r="A5" s="79" t="str">
        <x:v>G1</x:v>
      </x:c>
      <x:c r="B5" s="80" t="str">
        <x:v>Procurement freeze</x:v>
      </x:c>
      <x:c r="C5" s="80" t="str">
        <x:v>PM / Procurement</x:v>
      </x:c>
      <x:c r="D5" s="80" t="str">
        <x:v>G0 + BOM</x:v>
      </x:c>
      <x:c r="E5" s="80" t="str">
        <x:v>approved model/SKU + official source</x:v>
      </x:c>
      <x:c r="F5" s="80" t="str">
        <x:v>모든 필수품 model↔datasheet 1:1 매칭</x:v>
      </x:c>
      <x:c r="G5" s="80" t="str">
        <x:v>오구매/배선 불일치</x:v>
      </x:c>
      <x:c r="H5" s="82" t="str">
        <x:v>hardware/BOM.md</x:v>
      </x:c>
    </x:row>
    <x:row r="6">
      <x:c r="A6" s="79" t="str">
        <x:v>G2</x:v>
      </x:c>
      <x:c r="B6" s="80" t="str">
        <x:v>Mechanical rig</x:v>
      </x:c>
      <x:c r="C6" s="80" t="str">
        <x:v>Mechanical / Optics</x:v>
      </x:c>
      <x:c r="D6" s="80" t="str">
        <x:v>tray dimensions</x:v>
      </x:c>
      <x:c r="E6" s="80" t="str">
        <x:v>3 identical rigs</x:v>
      </x:c>
      <x:c r="F6" s="80" t="str">
        <x:v>카메라 높이/각도 잠금, 조명 위치 재현 가능</x:v>
      </x:c>
      <x:c r="G6" s="80" t="str">
        <x:v>시계열 측정 신뢰도 없음</x:v>
      </x:c>
      <x:c r="H6" s="82" t="str">
        <x:v>hardware/rig/</x:v>
      </x:c>
    </x:row>
    <x:row r="7">
      <x:c r="A7" s="79" t="str">
        <x:v>G3</x:v>
      </x:c>
      <x:c r="B7" s="80" t="str">
        <x:v>Camera calibration</x:v>
      </x:c>
      <x:c r="C7" s="80" t="str">
        <x:v>Vision / Data</x:v>
      </x:c>
      <x:c r="D7" s="80" t="str">
        <x:v>G2 + metric target</x:v>
      </x:c>
      <x:c r="E7" s="80" t="str">
        <x:v>pixels_per_cm, pose record, sample image</x:v>
      </x:c>
      <x:c r="F7" s="80" t="str">
        <x:v>동일 rig 반복 촬영에서 scale 안정</x:v>
      </x:c>
      <x:c r="G7" s="80" t="str">
        <x:v>leaf area cm² 환산 불가</x:v>
      </x:c>
      <x:c r="H7" s="82" t="str">
        <x:v>docs/calibration/</x:v>
      </x:c>
    </x:row>
    <x:row r="8">
      <x:c r="A8" s="79" t="str">
        <x:v>G4</x:v>
      </x:c>
      <x:c r="B8" s="80" t="str">
        <x:v>Lighting quality</x:v>
      </x:c>
      <x:c r="C8" s="80" t="str">
        <x:v>Mechanical / Optics + Vision</x:v>
      </x:c>
      <x:c r="D8" s="80" t="str">
        <x:v>G2 + light/diffuser</x:v>
      </x:c>
      <x:c r="E8" s="80" t="str">
        <x:v>illumination profile</x:v>
      </x:c>
      <x:c r="F8" s="80" t="str">
        <x:v>과다 clipping/blur 없이 일정 노출; color reference 기록</x:v>
      </x:c>
      <x:c r="G8" s="80" t="str">
        <x:v>HSV baseline 변동 커짐</x:v>
      </x:c>
      <x:c r="H8" s="82" t="str">
        <x:v>docs/lighting_validation.md</x:v>
      </x:c>
    </x:row>
    <x:row r="9">
      <x:c r="A9" s="79" t="str">
        <x:v>G5</x:v>
      </x:c>
      <x:c r="B9" s="80" t="str">
        <x:v>Sensor bring-up</x:v>
      </x:c>
      <x:c r="C9" s="80" t="str">
        <x:v>Electronics / Sensors</x:v>
      </x:c>
      <x:c r="D9" s="80" t="str">
        <x:v>BME280/VEML7700/ADS1115/SEN0193</x:v>
      </x:c>
      <x:c r="E9" s="80" t="str">
        <x:v>wiring + 24h sensor CSV</x:v>
      </x:c>
      <x:c r="F9" s="80" t="str">
        <x:v>I2C/ADC 데이터 끊김 없이 기록; raw soil ADC 포함</x:v>
      </x:c>
      <x:c r="G9" s="80" t="str">
        <x:v>image-sensor fusion 불가</x:v>
      </x:c>
      <x:c r="H9" s="82" t="str">
        <x:v>hardware/sensor-test/</x:v>
      </x:c>
    </x:row>
    <x:row r="10">
      <x:c r="A10" s="79" t="str">
        <x:v>G6</x:v>
      </x:c>
      <x:c r="B10" s="80" t="str">
        <x:v>Edge integration</x:v>
      </x:c>
      <x:c r="C10" s="80" t="str">
        <x:v>Edge / Embedded</x:v>
      </x:c>
      <x:c r="D10" s="80" t="str">
        <x:v>G3/G5 + API</x:v>
      </x:c>
      <x:c r="E10" s="80" t="str">
        <x:v>auto capture/upload service</x:v>
      </x:c>
      <x:c r="F10" s="80" t="str">
        <x:v>재부팅 자동기동; network outage queue/retry; TZ 포함</x:v>
      </x:c>
      <x:c r="G10" s="80" t="str">
        <x:v>장기 실험 데이터 누락</x:v>
      </x:c>
      <x:c r="H10" s="82" t="str">
        <x:v>edge/</x:v>
      </x:c>
    </x:row>
    <x:row r="11">
      <x:c r="A11" s="79" t="str">
        <x:v>G7</x:v>
      </x:c>
      <x:c r="B11" s="80" t="str">
        <x:v>14-day pilot</x:v>
      </x:c>
      <x:c r="C11" s="80" t="str">
        <x:v>All + Horticulture</x:v>
      </x:c>
      <x:c r="D11" s="80" t="str">
        <x:v>G0–G6</x:v>
      </x:c>
      <x:c r="E11" s="80" t="str">
        <x:v>daily fixed captures + immutable metadata</x:v>
      </x:c>
      <x:c r="F11" s="80" t="str">
        <x:v>동일 tray 최소 14일, fixed height/focal/illumination/watering-time offset 기록</x:v>
      </x:c>
      <x:c r="G11" s="80" t="str">
        <x:v>학습/논문용 baseline 불충분</x:v>
      </x:c>
      <x:c r="H11" s="82" t="str">
        <x:v>data-manifest/ + experiment export</x:v>
      </x:c>
    </x:row>
    <x:row r="12">
      <x:c r="A12" s="79" t="str">
        <x:v>G8</x:v>
      </x:c>
      <x:c r="B12" s="80" t="str">
        <x:v>Baseline validation</x:v>
      </x:c>
      <x:c r="C12" s="80" t="str">
        <x:v>Vision / Data + Horticulture</x:v>
      </x:c>
      <x:c r="D12" s="80" t="str">
        <x:v>G7 + expert masks</x:v>
      </x:c>
      <x:c r="E12" s="80" t="str">
        <x:v>OpenCV leaf-area error report</x:v>
      </x:c>
      <x:c r="F12" s="80" t="str">
        <x:v>held-out expert mask 대비 오차 정량 보고</x:v>
      </x:c>
      <x:c r="G12" s="80" t="str">
        <x:v>YOLO 추가 근거 없음</x:v>
      </x:c>
      <x:c r="H12" s="82" t="str">
        <x:v>reports/baseline_validation.md</x:v>
      </x:c>
    </x:row>
    <x:row r="13">
      <x:c r="A13" s="83" t="str">
        <x:v>G9</x:v>
      </x:c>
      <x:c r="B13" s="84" t="str">
        <x:v>YOLO-Seg go/no-go</x:v>
      </x:c>
      <x:c r="C13" s="84" t="str">
        <x:v>Vision / Data</x:v>
      </x:c>
      <x:c r="D13" s="84" t="str">
        <x:v>G8</x:v>
      </x:c>
      <x:c r="E13" s="84" t="str">
        <x:v>learned-model experiment plan</x:v>
      </x:c>
      <x:c r="F13" s="84" t="str">
        <x:v>held-out error 감소 가설 + split by tray/batch</x:v>
      </x:c>
      <x:c r="G13" s="84" t="str">
        <x:v>YOLO 사용 자체가 목표가 됨</x:v>
      </x:c>
      <x:c r="H13" s="86" t="str">
        <x:v>docs/model_gate.md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</x:cols>
  <x:sheetData>
    <x:row r="1">
      <x:c r="A1" s="5" t="str">
        <x:v>사용 안내</x:v>
      </x:c>
      <x:c r="B1" s="5"/>
      <x:c r="C1" s="5"/>
      <x:c r="D1" s="5"/>
      <x:c r="E1" s="5"/>
      <x:c r="F1" s="5"/>
    </x:row>
    <x:row r="3">
      <x:c r="A3" s="44" t="str">
        <x:v>항목</x:v>
      </x:c>
      <x:c r="B3" s="45" t="str">
        <x:v>내용</x:v>
      </x:c>
      <x:c r="C3" s="45" t="str"/>
      <x:c r="D3" s="45" t="str"/>
      <x:c r="E3" s="45" t="str"/>
      <x:c r="F3" s="46" t="str"/>
    </x:row>
    <x:row r="4">
      <x:c r="A4" s="79" t="str">
        <x:v>기준 날짜</x:v>
      </x:c>
      <x:c r="B4" s="80" t="str">
        <x:v>2026-08-17</x:v>
      </x:c>
      <x:c r="C4" s="80" t="str"/>
      <x:c r="D4" s="80" t="str"/>
      <x:c r="E4" s="80" t="str"/>
      <x:c r="F4" s="82" t="str"/>
    </x:row>
    <x:row r="5">
      <x:c r="A5" s="79" t="str">
        <x:v>대상</x:v>
      </x:c>
      <x:c r="B5" s="80" t="str">
        <x:v>Pai Chai NEXUS / Smart Seedling AI</x:v>
      </x:c>
      <x:c r="C5" s="80" t="str"/>
      <x:c r="D5" s="80" t="str"/>
      <x:c r="E5" s="80" t="str"/>
      <x:c r="F5" s="82" t="str"/>
    </x:row>
    <x:row r="6">
      <x:c r="A6" s="79" t="str">
        <x:v>권장 초기 규모</x:v>
      </x:c>
      <x:c r="B6" s="80" t="str">
        <x:v>3 Capture Stations + shared lab tools</x:v>
      </x:c>
      <x:c r="C6" s="80" t="str"/>
      <x:c r="D6" s="80" t="str"/>
      <x:c r="E6" s="80" t="str"/>
      <x:c r="F6" s="82" t="str"/>
    </x:row>
    <x:row r="7">
      <x:c r="A7" s="79" t="str">
        <x:v>구매 원칙</x:v>
      </x:c>
      <x:c r="B7" s="80" t="str">
        <x:v>P1 필수부터 발주. P2 EC/pH/자동시비는 작물·배지·실험목표 확정 후.</x:v>
      </x:c>
      <x:c r="C7" s="80" t="str"/>
      <x:c r="D7" s="80" t="str"/>
      <x:c r="E7" s="80" t="str"/>
      <x:c r="F7" s="82" t="str"/>
    </x:row>
    <x:row r="8">
      <x:c r="A8" s="79" t="str">
        <x:v>가격</x:v>
      </x:c>
      <x:c r="B8" s="80" t="str">
        <x:v>실시간 국내 가격은 변동하므로 Unit Price 열은 조달 담당자가 입력. Subtotal 자동 계산.</x:v>
      </x:c>
      <x:c r="C8" s="80" t="str"/>
      <x:c r="D8" s="80" t="str"/>
      <x:c r="E8" s="80" t="str"/>
      <x:c r="F8" s="82" t="str"/>
    </x:row>
    <x:row r="9">
      <x:c r="A9" s="79" t="str">
        <x:v>데이터시트</x:v>
      </x:c>
      <x:c r="B9" s="80" t="str">
        <x:v>공식 제조사/공식 모듈 벤더 URL만 Manifest에 수록. Generic mechanical parts는 벤더 선택 후 추가.</x:v>
      </x:c>
      <x:c r="C9" s="80" t="str"/>
      <x:c r="D9" s="80" t="str"/>
      <x:c r="E9" s="80" t="str"/>
      <x:c r="F9" s="82" t="str"/>
    </x:row>
    <x:row r="10">
      <x:c r="A10" s="79" t="str">
        <x:v>핵심 실험</x:v>
      </x:c>
      <x:c r="B10" s="80" t="str">
        <x:v>동일 tray를 최소 14일 고정 촬영하고 raw image/metadata를 보존.</x:v>
      </x:c>
      <x:c r="C10" s="80" t="str"/>
      <x:c r="D10" s="80" t="str"/>
      <x:c r="E10" s="80" t="str"/>
      <x:c r="F10" s="82" t="str"/>
    </x:row>
    <x:row r="11">
      <x:c r="A11" s="79" t="str">
        <x:v>소프트웨어 주의</x:v>
      </x:c>
      <x:c r="B11" s="80" t="str">
        <x:v>SEN0193 값은 '정확한 %'로 단정하지 말고 raw ADC + dry/wet calibration을 함께 저장.</x:v>
      </x:c>
      <x:c r="C11" s="80" t="str"/>
      <x:c r="D11" s="80" t="str"/>
      <x:c r="E11" s="80" t="str"/>
      <x:c r="F11" s="82" t="str"/>
    </x:row>
    <x:row r="12">
      <x:c r="A12" s="83" t="str">
        <x:v>GitHub branch</x:v>
      </x:c>
      <x:c r="B12" s="84" t="str">
        <x:v>https://github.com/paichai-nexus/smart-seedling-ai/tree/main</x:v>
      </x:c>
      <x:c r="C12" s="84" t="str"/>
      <x:c r="D12" s="84" t="str"/>
      <x:c r="E12" s="84" t="str"/>
      <x:c r="F12" s="86" t="str"/>
    </x:row>
  </x:sheetData>
  <x:mergeCells>
    <x:mergeCell ref="A1:F1"/>
  </x:mergeCells>
  <x:pageMargins left="0.7" right="0.7" top="0.75" bottom="0.75" header="0.3" footer="0.3"/>
</x:worksheet>
</file>